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6.xml" ContentType="application/vnd.openxmlformats-officedocument.spreadsheetml.externalLink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15600" windowHeight="4485" tabRatio="854" activeTab="4"/>
  </bookViews>
  <sheets>
    <sheet name="RELASI" sheetId="26" r:id="rId1"/>
    <sheet name="KBA" sheetId="25" r:id="rId2"/>
    <sheet name="KBB" sheetId="27" state="hidden" r:id="rId3"/>
    <sheet name="KBS" sheetId="28" state="hidden" r:id="rId4"/>
    <sheet name="DATA" sheetId="23" r:id="rId5"/>
    <sheet name="LAPORAN HARIAN" sheetId="22" r:id="rId6"/>
    <sheet name="LAMPIRAN" sheetId="24" state="hidden" r:id="rId7"/>
    <sheet name="LAMPIRAN-2020" sheetId="32" r:id="rId8"/>
    <sheet name="PER-TANGGAL" sheetId="33" r:id="rId9"/>
    <sheet name="Sheet1" sheetId="31" r:id="rId10"/>
    <sheet name="TableHelper" sheetId="34" state="hidden" r:id="rId11"/>
    <sheet name="LISTBOX-DATA" sheetId="35" r:id="rId12"/>
  </sheets>
  <functionGroups/>
  <externalReferences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Fill" localSheetId="2" hidden="1">#REF!</definedName>
    <definedName name="_Fill" localSheetId="3" hidden="1">#REF!</definedName>
    <definedName name="_Fill" localSheetId="6" hidden="1">#REF!</definedName>
    <definedName name="_Fill" localSheetId="7" hidden="1">#REF!</definedName>
    <definedName name="_Fill" localSheetId="5" hidden="1">#REF!</definedName>
    <definedName name="_Fill" hidden="1">#REF!</definedName>
    <definedName name="_xlnm._FilterDatabase" localSheetId="6" hidden="1">LAMPIRAN!$L$2:$L$133</definedName>
    <definedName name="_xlnm._FilterDatabase" localSheetId="7" hidden="1">'LAMPIRAN-2020'!$L$2:$L$133</definedName>
    <definedName name="ATANG" localSheetId="6" hidden="1">{"'Entry-SOUNDING'!$M$46"}</definedName>
    <definedName name="ATANG" localSheetId="7" hidden="1">{"'Entry-SOUNDING'!$M$46"}</definedName>
    <definedName name="ATANG" localSheetId="0" hidden="1">{"'Entry-SOUNDING'!$M$46"}</definedName>
    <definedName name="ATANG" hidden="1">{"'Entry-SOUNDING'!$M$46"}</definedName>
    <definedName name="BD">IF(YEAR(NOW())&lt;=2020,SUMIFS(DATAKBB[NETTO],DATAKBB[TANGGAL],DATA!XEZ1,DATAKBB[TRANSPORT],DATA!$H$4),0)</definedName>
    <definedName name="BL">IF(YEAR(NOW())&lt;=2020,SUMIFS(DATAKBB[NETTO],DATAKBB[TANGGAL],DATA!XEY1,DATAKBB[TRANSPORT],DATA!$I$4),0)</definedName>
    <definedName name="BSD">IF(YEAR(NOW())&lt;=2020,SUMIFS(DATAKBS[NETTO],DATAKBS[TANGGAL],DATA!XEX1,DATAKBS[TRANSPORT],DATA!$J$4),0)</definedName>
    <definedName name="BSL">IF(YEAR(NOW())&lt;=2020,SUMIFS(DATAKBS[NETTO],DATAKBS[TANGGAL],DATA!XEW1,DATAKBS[TRANSPORT],DATA!$K$4),0)</definedName>
    <definedName name="COUNTER_RUDI">COUNTIFS(KBA!$E$3:B1,DATAKBA[[#This Row],[TANGGAL]])</definedName>
    <definedName name="DATALH">DBLH[[#All],[tanggal]]</definedName>
    <definedName name="DL">IF(YEAR(NOW())&lt;=2020,IFERROR(IF(FIND("/KM",DATAKBA[[#This Row],[SUPPLIER/KM]])&gt;0,"LAUT"),"DARAT"),0)</definedName>
    <definedName name="DLB">IF(YEAR(NOW())&lt;=2020,IFERROR(IF(FIND("/KM",DATAKBB[[#This Row],[SUPPLIER/KM]])&gt;0,"LAUT"),"DARAT"),0)</definedName>
    <definedName name="DOC">IF(AND(DATAKBA[[#This Row],[NAMA SUPP]]=KBA!XFA1048576,DATAKBA[[#This Row],[TANGGAL]]=KBA!XFD1048576),"",TEXT(COUNTIFS(KBA!$B$3:XFA1,DATAKBA[[#This Row],[NAMA SUPP]],KBA!$C$3:XFB1,1)+VLOOKUP(DATAKBA[[#This Row],[NAMA SUPP]],SUPP[[RELASI]:[DOCKB]],3,FALSE),"000"))</definedName>
    <definedName name="DOCKBB">IF(YEAR(NOW())&lt;=2020,IF(AND(DATAKBB[[#This Row],[NAMA SUPP]]=KBB!XFA1048576,DATAKBB[[#This Row],[TANGGAL]]=KBB!XFD1048576),"",TEXT(COUNTIFS(KBB!$B$3:XFA1,DATAKBB[[#This Row],[NAMA SUPP]],KBB!$C$3:XFB1,1)+VLOOKUP(DATAKBB[[#This Row],[NAMA SUPP]],SUPP[[RELASI]:[DOCKBB]],4,FALSE),"000")),0)</definedName>
    <definedName name="DOCKBS">IF(AND(DATAKBS[[#This Row],[NAMA SUPP]]=KBS!XFA1048576,DATAKBS[[#This Row],[TANGGAL]]=KBS!XFD1048576),"",TEXT(COUNTIFS(KBS!$B$3:XFA1,DATAKBS[[#This Row],[NAMA SUPP]],KBS!$C$3:XFB1,1)+VLOOKUP(DATAKBS[[#This Row],[NAMA SUPP]],SUPP[[RELASI]:[DOCKBS]],5,FALSE),"000"))</definedName>
    <definedName name="FF" localSheetId="6" hidden="1">{"'Entry-SOUNDING'!$M$46"}</definedName>
    <definedName name="FF" localSheetId="7" hidden="1">{"'Entry-SOUNDING'!$M$46"}</definedName>
    <definedName name="FF" localSheetId="5" hidden="1">{"'Entry-SOUNDING'!$M$46"}</definedName>
    <definedName name="FF" localSheetId="0" hidden="1">{"'Entry-SOUNDING'!$M$46"}</definedName>
    <definedName name="FF" hidden="1">{"'Entry-SOUNDING'!$M$46"}</definedName>
    <definedName name="HTML_CodePage" hidden="1">1252</definedName>
    <definedName name="HTML_Control" localSheetId="6" hidden="1">{"'Entry-SOUNDING'!$M$46"}</definedName>
    <definedName name="HTML_Control" localSheetId="7" hidden="1">{"'Entry-SOUNDING'!$M$46"}</definedName>
    <definedName name="HTML_Control" localSheetId="5" hidden="1">{"'Entry-SOUNDING'!$M$46"}</definedName>
    <definedName name="HTML_Control" localSheetId="0" hidden="1">{"'Entry-SOUNDING'!$M$46"}</definedName>
    <definedName name="HTML_Control" hidden="1">{"'Entry-SOUNDING'!$M$46"}</definedName>
    <definedName name="HTML_Description" hidden="1">"Coconut Oil Mill Daily Sounding Report"</definedName>
    <definedName name="HTML_Email" hidden="1">""</definedName>
    <definedName name="HTML_Header" hidden="1">"Entry-SOUNDING"</definedName>
    <definedName name="HTML_LastUpdate" hidden="1">"2/28/01"</definedName>
    <definedName name="HTML_LineAfter" hidden="1">FALSE</definedName>
    <definedName name="HTML_LineBefore" hidden="1">FALSE</definedName>
    <definedName name="HTML_Name" hidden="1">"Dept. PMK"</definedName>
    <definedName name="HTML_OBDlg2" hidden="1">TRUE</definedName>
    <definedName name="HTML_OBDlg4" hidden="1">TRUE</definedName>
    <definedName name="HTML_OS" hidden="1">0</definedName>
    <definedName name="HTML_PathFile" hidden="1">"C:\My Documents\sounding pmk.htm"</definedName>
    <definedName name="HTML_Title" hidden="1">"SOUND"</definedName>
    <definedName name="JAD">IF(YEAR(NOW())&lt;=2020,SUMIFS(DATAKBA[NETTO],DATAKBA[TANGGAL],DATA!XFD1,DATAKBA[TRANSPORT],DATA!$D$4)-DBLH[[#This Row],[gdarat]],0)</definedName>
    <definedName name="JAL">IF(YEAR(NOW())&lt;=2020,SUMIFS(DATAKBA[NETTO],DATAKBA[TANGGAL],DATA!XFC1,DATAKBA[TRANSPORT],DATA!$E$4)-DBLH[[#This Row],[glaut]],0)</definedName>
    <definedName name="KAS" localSheetId="6" hidden="1">{"'Entry-SOUNDING'!$M$46"}</definedName>
    <definedName name="KAS" localSheetId="7" hidden="1">{"'Entry-SOUNDING'!$M$46"}</definedName>
    <definedName name="KAS" localSheetId="0" hidden="1">{"'Entry-SOUNDING'!$M$46"}</definedName>
    <definedName name="KAS" hidden="1">{"'Entry-SOUNDING'!$M$46"}</definedName>
    <definedName name="M.YUNUS" localSheetId="6" hidden="1">{"'Entry-SOUNDING'!$M$46"}</definedName>
    <definedName name="M.YUNUS" localSheetId="7" hidden="1">{"'Entry-SOUNDING'!$M$46"}</definedName>
    <definedName name="M.YUNUS" localSheetId="0" hidden="1">{"'Entry-SOUNDING'!$M$46"}</definedName>
    <definedName name="M.YUNUS" hidden="1">{"'Entry-SOUNDING'!$M$46"}</definedName>
    <definedName name="NBB">IF(YEAR(NOW())&lt;=2020,DATAKBB[[#This Row],[BRUTO]]-DATAKBB[[#This Row],[TARRA]],0)</definedName>
    <definedName name="NET">IF(YEAR(NOW())&lt;=2020,DATAKBA[[#This Row],[BRUTO]]-DATAKBA[[#This Row],[TARRA]],0)</definedName>
    <definedName name="NOUR">IF(YEAR(NOW())&lt;=2020,COUNTIFS(KBB!$E$3:B1,DATAKBB[[#This Row],[TANGGAL]]),0)</definedName>
    <definedName name="_xlnm.Print_Area" localSheetId="1">KBA!#REF!</definedName>
    <definedName name="_xlnm.Print_Area" localSheetId="6">LAMPIRAN!$D$1:$J$133</definedName>
    <definedName name="_xlnm.Print_Area" localSheetId="7">'LAMPIRAN-2020'!$D$1:$K$141</definedName>
    <definedName name="_xlnm.Print_Area" localSheetId="5">'LAPORAN HARIAN'!$C$2:$M$59</definedName>
    <definedName name="_xlnm.Print_Area" localSheetId="8">'PER-TANGGAL'!$B$4:$P$47,'PER-TANGGAL'!$B$53:$P$73,'PER-TANGGAL'!$B$76:$P$93,'PER-TANGGAL'!$B$96:$P$119</definedName>
    <definedName name="_xlnm.Print_Titles" localSheetId="1">KBA!$2:$2</definedName>
    <definedName name="REKAP" localSheetId="6" hidden="1">{"'Entry-SOUNDING'!$M$46"}</definedName>
    <definedName name="REKAP" localSheetId="7" hidden="1">{"'Entry-SOUNDING'!$M$46"}</definedName>
    <definedName name="REKAP" localSheetId="0" hidden="1">{"'Entry-SOUNDING'!$M$46"}</definedName>
    <definedName name="REKAP" hidden="1">{"'Entry-SOUNDING'!$M$46"}</definedName>
    <definedName name="REL">RELASI!$C$2:$C$51</definedName>
    <definedName name="SPB">IF(YEAR(NOW())&lt;=2020,IFERROR(LEFT(DATAKBB[[#This Row],[SUPPLIER/KM]],FIND("/",DATAKBB[[#This Row],[SUPPLIER/KM]])-1),DATAKBB[[#This Row],[SUPPLIER/KM]]),0)</definedName>
    <definedName name="SUPPAJA">IF(YEAR(NOW())&lt;=2020,IFERROR(LEFT(DATAKBA[[#This Row],[SUPPLIER/KM]],FIND("/",DATAKBA[[#This Row],[SUPPLIER/KM]])-1),DATAKBA[[#This Row],[SUPPLIER/KM]]),0)</definedName>
    <definedName name="tt" localSheetId="6" hidden="1">{"'Entry-SOUNDING'!$M$46"}</definedName>
    <definedName name="tt" localSheetId="7" hidden="1">{"'Entry-SOUNDING'!$M$46"}</definedName>
    <definedName name="tt" localSheetId="0" hidden="1">{"'Entry-SOUNDING'!$M$46"}</definedName>
    <definedName name="tt" hidden="1">{"'Entry-SOUNDING'!$M$46"}</definedName>
    <definedName name="USMAN" localSheetId="6" hidden="1">{"'Entry-SOUNDING'!$M$46"}</definedName>
    <definedName name="USMAN" localSheetId="7" hidden="1">{"'Entry-SOUNDING'!$M$46"}</definedName>
    <definedName name="USMAN" localSheetId="0" hidden="1">{"'Entry-SOUNDING'!$M$46"}</definedName>
    <definedName name="USMAN" hidden="1">{"'Entry-SOUNDING'!$M$46"}</definedName>
  </definedNames>
  <calcPr calcId="124519"/>
</workbook>
</file>

<file path=xl/calcChain.xml><?xml version="1.0" encoding="utf-8"?>
<calcChain xmlns="http://schemas.openxmlformats.org/spreadsheetml/2006/main">
  <c r="N35" i="35"/>
  <c r="M35"/>
  <c r="L35"/>
  <c r="K35"/>
  <c r="J35"/>
  <c r="I35"/>
  <c r="H35"/>
  <c r="G35"/>
  <c r="F35"/>
  <c r="E35"/>
  <c r="D35"/>
  <c r="C35"/>
  <c r="B35"/>
  <c r="B674" i="25"/>
  <c r="D674"/>
  <c r="L674"/>
  <c r="M674"/>
  <c r="B672"/>
  <c r="B673"/>
  <c r="D672"/>
  <c r="D673"/>
  <c r="L672"/>
  <c r="L673"/>
  <c r="M672"/>
  <c r="M673"/>
  <c r="C36" i="35" l="1"/>
  <c r="G36"/>
  <c r="I36"/>
  <c r="E36"/>
  <c r="I57" i="22"/>
  <c r="M671" i="25" l="1"/>
  <c r="L671"/>
  <c r="B668"/>
  <c r="B669"/>
  <c r="B670"/>
  <c r="B671"/>
  <c r="D668"/>
  <c r="D669"/>
  <c r="D670"/>
  <c r="D671"/>
  <c r="L668"/>
  <c r="L669"/>
  <c r="L670"/>
  <c r="M668"/>
  <c r="M669"/>
  <c r="M670"/>
  <c r="B667"/>
  <c r="D667"/>
  <c r="L667"/>
  <c r="M667"/>
  <c r="B666"/>
  <c r="D666"/>
  <c r="L666"/>
  <c r="M666"/>
  <c r="B665"/>
  <c r="D665"/>
  <c r="L665"/>
  <c r="M665"/>
  <c r="B664"/>
  <c r="D664"/>
  <c r="L664"/>
  <c r="M664"/>
  <c r="B663"/>
  <c r="D663"/>
  <c r="L663"/>
  <c r="M663"/>
  <c r="B662"/>
  <c r="D662"/>
  <c r="L662"/>
  <c r="M662"/>
  <c r="B658"/>
  <c r="B659"/>
  <c r="B660"/>
  <c r="B661"/>
  <c r="D658"/>
  <c r="D659"/>
  <c r="D660"/>
  <c r="D661"/>
  <c r="L658"/>
  <c r="L659"/>
  <c r="L660"/>
  <c r="L661"/>
  <c r="M658"/>
  <c r="M659"/>
  <c r="M660"/>
  <c r="M661"/>
  <c r="B657"/>
  <c r="D657"/>
  <c r="L657"/>
  <c r="M657"/>
  <c r="B655"/>
  <c r="B656"/>
  <c r="D655"/>
  <c r="D656"/>
  <c r="L655"/>
  <c r="L656"/>
  <c r="M655"/>
  <c r="M656"/>
  <c r="B653"/>
  <c r="B654"/>
  <c r="D653"/>
  <c r="D654"/>
  <c r="L653"/>
  <c r="L654"/>
  <c r="M653"/>
  <c r="M654"/>
  <c r="H651"/>
  <c r="I651"/>
  <c r="J651"/>
  <c r="L651" s="1"/>
  <c r="K651"/>
  <c r="H652"/>
  <c r="I652"/>
  <c r="J652"/>
  <c r="K652"/>
  <c r="B651"/>
  <c r="B652"/>
  <c r="D651"/>
  <c r="D652"/>
  <c r="L652"/>
  <c r="M651"/>
  <c r="M652"/>
  <c r="B648"/>
  <c r="B649"/>
  <c r="B650"/>
  <c r="L648"/>
  <c r="L649"/>
  <c r="L650"/>
  <c r="M648"/>
  <c r="M649"/>
  <c r="M650"/>
  <c r="F670" l="1"/>
  <c r="F656"/>
  <c r="G644"/>
  <c r="H644"/>
  <c r="I644"/>
  <c r="J644"/>
  <c r="K644"/>
  <c r="G645"/>
  <c r="H645"/>
  <c r="I645"/>
  <c r="J645"/>
  <c r="K645"/>
  <c r="G646"/>
  <c r="H646"/>
  <c r="I646"/>
  <c r="J646"/>
  <c r="K646"/>
  <c r="G647"/>
  <c r="H647"/>
  <c r="I647"/>
  <c r="J647"/>
  <c r="K647"/>
  <c r="B644"/>
  <c r="B645"/>
  <c r="B646"/>
  <c r="B647"/>
  <c r="L644"/>
  <c r="L645"/>
  <c r="L646"/>
  <c r="L647"/>
  <c r="M644"/>
  <c r="M645"/>
  <c r="M646"/>
  <c r="M647"/>
  <c r="F646" l="1"/>
  <c r="B642" l="1"/>
  <c r="B641"/>
  <c r="B643"/>
  <c r="L641"/>
  <c r="L642"/>
  <c r="L643"/>
  <c r="M641"/>
  <c r="M642"/>
  <c r="M643"/>
  <c r="B638"/>
  <c r="B639"/>
  <c r="B640"/>
  <c r="L638"/>
  <c r="L639"/>
  <c r="L640"/>
  <c r="M638"/>
  <c r="M639"/>
  <c r="M640"/>
  <c r="F639" l="1"/>
  <c r="B635" l="1"/>
  <c r="B636"/>
  <c r="B637"/>
  <c r="L635"/>
  <c r="L636"/>
  <c r="L637"/>
  <c r="M635"/>
  <c r="M636"/>
  <c r="M637"/>
  <c r="B632"/>
  <c r="B633"/>
  <c r="B634"/>
  <c r="L632"/>
  <c r="L633"/>
  <c r="L634"/>
  <c r="M632"/>
  <c r="M633"/>
  <c r="M634"/>
  <c r="B631" l="1"/>
  <c r="L631"/>
  <c r="M631"/>
  <c r="B628"/>
  <c r="B629"/>
  <c r="B630"/>
  <c r="L628"/>
  <c r="L629"/>
  <c r="L630"/>
  <c r="M628"/>
  <c r="M629"/>
  <c r="M630"/>
  <c r="M625"/>
  <c r="B627"/>
  <c r="L627"/>
  <c r="M627"/>
  <c r="B624"/>
  <c r="H624"/>
  <c r="I624"/>
  <c r="J624"/>
  <c r="K624"/>
  <c r="H625"/>
  <c r="I625"/>
  <c r="J625"/>
  <c r="K625"/>
  <c r="B626"/>
  <c r="H626"/>
  <c r="I626"/>
  <c r="J626"/>
  <c r="K626"/>
  <c r="B625"/>
  <c r="M624"/>
  <c r="M626"/>
  <c r="L626" l="1"/>
  <c r="L624"/>
  <c r="L625"/>
  <c r="G617"/>
  <c r="H617"/>
  <c r="I617"/>
  <c r="J617"/>
  <c r="K617"/>
  <c r="G618"/>
  <c r="H618"/>
  <c r="I618"/>
  <c r="J618"/>
  <c r="K618"/>
  <c r="G619"/>
  <c r="H619"/>
  <c r="I619"/>
  <c r="J619"/>
  <c r="K619"/>
  <c r="H620"/>
  <c r="I620"/>
  <c r="J620"/>
  <c r="K620"/>
  <c r="G621"/>
  <c r="H621"/>
  <c r="I621"/>
  <c r="J621"/>
  <c r="K621"/>
  <c r="G622"/>
  <c r="H622"/>
  <c r="I622"/>
  <c r="J622"/>
  <c r="K622"/>
  <c r="G623"/>
  <c r="H623"/>
  <c r="I623"/>
  <c r="J623"/>
  <c r="K623"/>
  <c r="B617"/>
  <c r="B618"/>
  <c r="B619"/>
  <c r="B620"/>
  <c r="B621"/>
  <c r="B622"/>
  <c r="B623"/>
  <c r="L617"/>
  <c r="L618"/>
  <c r="L619"/>
  <c r="L620"/>
  <c r="L621"/>
  <c r="L622"/>
  <c r="L623"/>
  <c r="M617"/>
  <c r="M618"/>
  <c r="M619"/>
  <c r="M620"/>
  <c r="M621"/>
  <c r="M622"/>
  <c r="M623"/>
  <c r="G613"/>
  <c r="H613"/>
  <c r="I613"/>
  <c r="J613"/>
  <c r="K613"/>
  <c r="G614"/>
  <c r="H614"/>
  <c r="I614"/>
  <c r="J614"/>
  <c r="K614"/>
  <c r="G615"/>
  <c r="H615"/>
  <c r="I615"/>
  <c r="J615"/>
  <c r="K615"/>
  <c r="G616"/>
  <c r="H616"/>
  <c r="I616"/>
  <c r="J616"/>
  <c r="K616"/>
  <c r="B613"/>
  <c r="B614"/>
  <c r="B615"/>
  <c r="B616"/>
  <c r="L613"/>
  <c r="L614"/>
  <c r="L615"/>
  <c r="L616"/>
  <c r="M613"/>
  <c r="M614"/>
  <c r="M615"/>
  <c r="M616"/>
  <c r="F623" l="1"/>
  <c r="B608" l="1"/>
  <c r="B609"/>
  <c r="B610"/>
  <c r="B611"/>
  <c r="B612"/>
  <c r="L608"/>
  <c r="L609"/>
  <c r="L610"/>
  <c r="L611"/>
  <c r="L612"/>
  <c r="M608"/>
  <c r="M609"/>
  <c r="M610"/>
  <c r="M611"/>
  <c r="M612"/>
  <c r="B604"/>
  <c r="B605"/>
  <c r="B606"/>
  <c r="B607"/>
  <c r="L604"/>
  <c r="L605"/>
  <c r="L606"/>
  <c r="L607"/>
  <c r="M604"/>
  <c r="M605"/>
  <c r="M606"/>
  <c r="M607"/>
  <c r="B600"/>
  <c r="B601"/>
  <c r="B602"/>
  <c r="B603"/>
  <c r="L600"/>
  <c r="L601"/>
  <c r="L602"/>
  <c r="L603"/>
  <c r="M600"/>
  <c r="M601"/>
  <c r="M602"/>
  <c r="M603"/>
  <c r="F609" l="1"/>
  <c r="B595"/>
  <c r="B596"/>
  <c r="B597"/>
  <c r="B598"/>
  <c r="B599"/>
  <c r="L595"/>
  <c r="L596"/>
  <c r="L597"/>
  <c r="L598"/>
  <c r="L599"/>
  <c r="M595"/>
  <c r="M596"/>
  <c r="M597"/>
  <c r="M598"/>
  <c r="M599"/>
  <c r="F598" l="1"/>
  <c r="F597"/>
  <c r="H593" l="1"/>
  <c r="I593"/>
  <c r="J593"/>
  <c r="K593"/>
  <c r="L593" s="1"/>
  <c r="H594"/>
  <c r="I594"/>
  <c r="J594"/>
  <c r="K594"/>
  <c r="L594" s="1"/>
  <c r="B593"/>
  <c r="B594"/>
  <c r="M593"/>
  <c r="M594"/>
  <c r="G586"/>
  <c r="H586"/>
  <c r="I586"/>
  <c r="J586"/>
  <c r="K586"/>
  <c r="G587"/>
  <c r="B587" s="1"/>
  <c r="H587"/>
  <c r="I587"/>
  <c r="J587"/>
  <c r="K587"/>
  <c r="L587" s="1"/>
  <c r="G588"/>
  <c r="H588"/>
  <c r="I588"/>
  <c r="J588"/>
  <c r="K588"/>
  <c r="G589"/>
  <c r="B589" s="1"/>
  <c r="H589"/>
  <c r="I589"/>
  <c r="J589"/>
  <c r="K589"/>
  <c r="L589" s="1"/>
  <c r="G590"/>
  <c r="H590"/>
  <c r="I590"/>
  <c r="J590"/>
  <c r="K590"/>
  <c r="G591"/>
  <c r="B591" s="1"/>
  <c r="H591"/>
  <c r="I591"/>
  <c r="J591"/>
  <c r="K591"/>
  <c r="L591" s="1"/>
  <c r="G592"/>
  <c r="H592"/>
  <c r="I592"/>
  <c r="J592"/>
  <c r="L592" s="1"/>
  <c r="K592"/>
  <c r="B586"/>
  <c r="B588"/>
  <c r="B590"/>
  <c r="B592"/>
  <c r="L586"/>
  <c r="L588"/>
  <c r="L590"/>
  <c r="M586"/>
  <c r="M587"/>
  <c r="M588"/>
  <c r="M589"/>
  <c r="M590"/>
  <c r="M591"/>
  <c r="M592"/>
  <c r="B578"/>
  <c r="B579"/>
  <c r="B580"/>
  <c r="B581"/>
  <c r="B582"/>
  <c r="B583"/>
  <c r="B584"/>
  <c r="B585"/>
  <c r="L578"/>
  <c r="L579"/>
  <c r="L580"/>
  <c r="L581"/>
  <c r="L582"/>
  <c r="L583"/>
  <c r="L584"/>
  <c r="L585"/>
  <c r="M578"/>
  <c r="M579"/>
  <c r="M580"/>
  <c r="M581"/>
  <c r="M582"/>
  <c r="M583"/>
  <c r="M584"/>
  <c r="M585"/>
  <c r="B574"/>
  <c r="B575"/>
  <c r="B576"/>
  <c r="B577"/>
  <c r="L574"/>
  <c r="L575"/>
  <c r="L576"/>
  <c r="L577"/>
  <c r="M574"/>
  <c r="M575"/>
  <c r="M576"/>
  <c r="M577"/>
  <c r="F592" l="1"/>
  <c r="F582"/>
  <c r="F584"/>
  <c r="F576"/>
  <c r="B570" l="1"/>
  <c r="B571"/>
  <c r="B572"/>
  <c r="B573"/>
  <c r="L570"/>
  <c r="L571"/>
  <c r="L572"/>
  <c r="L573"/>
  <c r="M570"/>
  <c r="M571"/>
  <c r="M572"/>
  <c r="M573"/>
  <c r="B568"/>
  <c r="B569"/>
  <c r="B566"/>
  <c r="B567"/>
  <c r="L568"/>
  <c r="L569"/>
  <c r="L566"/>
  <c r="L567"/>
  <c r="M568"/>
  <c r="M569"/>
  <c r="M566"/>
  <c r="M567"/>
  <c r="F567" l="1"/>
  <c r="B562" l="1"/>
  <c r="B563"/>
  <c r="B564"/>
  <c r="B565"/>
  <c r="L562"/>
  <c r="L563"/>
  <c r="L564"/>
  <c r="L565"/>
  <c r="M562"/>
  <c r="M563"/>
  <c r="M564"/>
  <c r="M565"/>
  <c r="B561" l="1"/>
  <c r="L561"/>
  <c r="M561"/>
  <c r="B559" l="1"/>
  <c r="B560"/>
  <c r="L559"/>
  <c r="L560"/>
  <c r="M559"/>
  <c r="M560"/>
  <c r="B555"/>
  <c r="B556"/>
  <c r="B557"/>
  <c r="B558"/>
  <c r="L555"/>
  <c r="L556"/>
  <c r="L557"/>
  <c r="L558"/>
  <c r="M555"/>
  <c r="M556"/>
  <c r="M557"/>
  <c r="M558"/>
  <c r="F556" l="1"/>
  <c r="B552"/>
  <c r="B553"/>
  <c r="B554"/>
  <c r="L552"/>
  <c r="L553"/>
  <c r="L554"/>
  <c r="M552"/>
  <c r="M553"/>
  <c r="M554"/>
  <c r="B549" l="1"/>
  <c r="B550"/>
  <c r="B551"/>
  <c r="B548"/>
  <c r="L549"/>
  <c r="L550"/>
  <c r="L551"/>
  <c r="L548"/>
  <c r="M549"/>
  <c r="M550"/>
  <c r="M551"/>
  <c r="M548"/>
  <c r="L544"/>
  <c r="L545"/>
  <c r="L546"/>
  <c r="L547"/>
  <c r="B544"/>
  <c r="B545"/>
  <c r="B546"/>
  <c r="B547"/>
  <c r="M544"/>
  <c r="M545"/>
  <c r="M546"/>
  <c r="M547"/>
  <c r="F551" l="1"/>
  <c r="B542"/>
  <c r="B543"/>
  <c r="L542"/>
  <c r="L543"/>
  <c r="M542"/>
  <c r="M543"/>
  <c r="B538"/>
  <c r="B539"/>
  <c r="B540"/>
  <c r="B541"/>
  <c r="M538"/>
  <c r="M539"/>
  <c r="M540"/>
  <c r="M541"/>
  <c r="B536" l="1"/>
  <c r="B537"/>
  <c r="L536"/>
  <c r="L537"/>
  <c r="M536"/>
  <c r="M537"/>
  <c r="B532"/>
  <c r="B533"/>
  <c r="B534"/>
  <c r="B535"/>
  <c r="L532"/>
  <c r="L533"/>
  <c r="L534"/>
  <c r="L535"/>
  <c r="M532"/>
  <c r="M533"/>
  <c r="M534"/>
  <c r="M535"/>
  <c r="B522" l="1"/>
  <c r="B523"/>
  <c r="B524"/>
  <c r="B525"/>
  <c r="B526"/>
  <c r="B527"/>
  <c r="B528"/>
  <c r="B529"/>
  <c r="B530"/>
  <c r="B531"/>
  <c r="L522"/>
  <c r="L523"/>
  <c r="L524"/>
  <c r="L525"/>
  <c r="L526"/>
  <c r="L527"/>
  <c r="L528"/>
  <c r="L529"/>
  <c r="L530"/>
  <c r="L531"/>
  <c r="M522"/>
  <c r="M523"/>
  <c r="M524"/>
  <c r="M525"/>
  <c r="M526"/>
  <c r="M527"/>
  <c r="M528"/>
  <c r="M529"/>
  <c r="M530"/>
  <c r="M531"/>
  <c r="B518"/>
  <c r="B519"/>
  <c r="B520"/>
  <c r="B521"/>
  <c r="L518"/>
  <c r="L519"/>
  <c r="L520"/>
  <c r="L521"/>
  <c r="M518"/>
  <c r="M519"/>
  <c r="M520"/>
  <c r="M521"/>
  <c r="F531" l="1"/>
  <c r="F529"/>
  <c r="F530"/>
  <c r="F519"/>
  <c r="B515" l="1"/>
  <c r="B516"/>
  <c r="B517"/>
  <c r="L515"/>
  <c r="L516"/>
  <c r="L517"/>
  <c r="M515"/>
  <c r="M516"/>
  <c r="M517"/>
  <c r="B511" l="1"/>
  <c r="B512"/>
  <c r="B513"/>
  <c r="B514"/>
  <c r="L511"/>
  <c r="L512"/>
  <c r="L513"/>
  <c r="L514"/>
  <c r="M511"/>
  <c r="M512"/>
  <c r="M513"/>
  <c r="M514"/>
  <c r="B508"/>
  <c r="B509"/>
  <c r="B510"/>
  <c r="L508"/>
  <c r="L509"/>
  <c r="L510"/>
  <c r="M508"/>
  <c r="M509"/>
  <c r="M510"/>
  <c r="F513" l="1"/>
  <c r="F514"/>
  <c r="B503" l="1"/>
  <c r="B504"/>
  <c r="B505"/>
  <c r="B506"/>
  <c r="B507"/>
  <c r="L503"/>
  <c r="L504"/>
  <c r="L505"/>
  <c r="L506"/>
  <c r="L507"/>
  <c r="M503"/>
  <c r="M504"/>
  <c r="M505"/>
  <c r="M506"/>
  <c r="M507"/>
  <c r="B502"/>
  <c r="L502"/>
  <c r="M502"/>
  <c r="B498"/>
  <c r="B499"/>
  <c r="B500"/>
  <c r="B501"/>
  <c r="L498"/>
  <c r="L499"/>
  <c r="L500"/>
  <c r="L501"/>
  <c r="M498"/>
  <c r="M499"/>
  <c r="M500"/>
  <c r="M501"/>
  <c r="B494"/>
  <c r="B495"/>
  <c r="B496"/>
  <c r="B497"/>
  <c r="L494"/>
  <c r="L495"/>
  <c r="L496"/>
  <c r="L497"/>
  <c r="M494"/>
  <c r="M495"/>
  <c r="M496"/>
  <c r="M497"/>
  <c r="B493"/>
  <c r="L493"/>
  <c r="M493"/>
  <c r="F507" l="1"/>
  <c r="F504"/>
  <c r="F506"/>
  <c r="F502"/>
  <c r="B489"/>
  <c r="B490"/>
  <c r="B491"/>
  <c r="B492"/>
  <c r="F493" s="1"/>
  <c r="L489"/>
  <c r="L490"/>
  <c r="L491"/>
  <c r="L492"/>
  <c r="M489"/>
  <c r="M490"/>
  <c r="M491"/>
  <c r="M492"/>
  <c r="B481"/>
  <c r="B482"/>
  <c r="B483"/>
  <c r="B484"/>
  <c r="B485"/>
  <c r="B486"/>
  <c r="B487"/>
  <c r="B488"/>
  <c r="L481"/>
  <c r="L482"/>
  <c r="L483"/>
  <c r="L484"/>
  <c r="L485"/>
  <c r="L486"/>
  <c r="L487"/>
  <c r="L488"/>
  <c r="M481"/>
  <c r="M482"/>
  <c r="M483"/>
  <c r="M484"/>
  <c r="M485"/>
  <c r="M486"/>
  <c r="M487"/>
  <c r="M488"/>
  <c r="B477"/>
  <c r="B478"/>
  <c r="B479"/>
  <c r="B480"/>
  <c r="L477"/>
  <c r="L478"/>
  <c r="L479"/>
  <c r="L480"/>
  <c r="M477"/>
  <c r="M478"/>
  <c r="M479"/>
  <c r="M480"/>
  <c r="B476"/>
  <c r="L476"/>
  <c r="M476"/>
  <c r="B475"/>
  <c r="L475"/>
  <c r="M475"/>
  <c r="B471"/>
  <c r="B472"/>
  <c r="B473"/>
  <c r="B474"/>
  <c r="L471"/>
  <c r="L472"/>
  <c r="L473"/>
  <c r="L474"/>
  <c r="M471"/>
  <c r="M472"/>
  <c r="M473"/>
  <c r="M474"/>
  <c r="B467"/>
  <c r="B468"/>
  <c r="B469"/>
  <c r="B470"/>
  <c r="B466"/>
  <c r="L467"/>
  <c r="L468"/>
  <c r="L469"/>
  <c r="L470"/>
  <c r="L466"/>
  <c r="M467"/>
  <c r="M468"/>
  <c r="M469"/>
  <c r="M470"/>
  <c r="M466"/>
  <c r="B461"/>
  <c r="B462"/>
  <c r="B463"/>
  <c r="B464"/>
  <c r="B465"/>
  <c r="L461"/>
  <c r="L462"/>
  <c r="L463"/>
  <c r="L464"/>
  <c r="L465"/>
  <c r="M461"/>
  <c r="M462"/>
  <c r="M463"/>
  <c r="M464"/>
  <c r="M465"/>
  <c r="F488" l="1"/>
  <c r="F486"/>
  <c r="F482"/>
  <c r="F487"/>
  <c r="F470"/>
  <c r="B460"/>
  <c r="L460"/>
  <c r="M460"/>
  <c r="B458"/>
  <c r="B459"/>
  <c r="L458"/>
  <c r="L459"/>
  <c r="M458"/>
  <c r="M459"/>
  <c r="B457"/>
  <c r="F458" s="1"/>
  <c r="L457"/>
  <c r="M457"/>
  <c r="B453"/>
  <c r="B454"/>
  <c r="B455"/>
  <c r="B456"/>
  <c r="L453"/>
  <c r="L454"/>
  <c r="L455"/>
  <c r="L456"/>
  <c r="M453"/>
  <c r="M454"/>
  <c r="M455"/>
  <c r="M456"/>
  <c r="F459" l="1"/>
  <c r="F457"/>
  <c r="B444" l="1"/>
  <c r="B445"/>
  <c r="B446"/>
  <c r="B447"/>
  <c r="B448"/>
  <c r="B449"/>
  <c r="B450"/>
  <c r="B451"/>
  <c r="B452"/>
  <c r="L444"/>
  <c r="L445"/>
  <c r="L446"/>
  <c r="L447"/>
  <c r="L448"/>
  <c r="L449"/>
  <c r="L450"/>
  <c r="L451"/>
  <c r="L452"/>
  <c r="M444"/>
  <c r="M445"/>
  <c r="M446"/>
  <c r="M447"/>
  <c r="M448"/>
  <c r="M449"/>
  <c r="M450"/>
  <c r="M451"/>
  <c r="M452"/>
  <c r="F449" l="1"/>
  <c r="F447"/>
  <c r="F445"/>
  <c r="F446"/>
  <c r="B439" l="1"/>
  <c r="B440"/>
  <c r="B441"/>
  <c r="B442"/>
  <c r="B443"/>
  <c r="L439"/>
  <c r="L440"/>
  <c r="L441"/>
  <c r="L442"/>
  <c r="L443"/>
  <c r="M439"/>
  <c r="M440"/>
  <c r="M441"/>
  <c r="M442"/>
  <c r="M443"/>
  <c r="B438" l="1"/>
  <c r="L438"/>
  <c r="M438"/>
  <c r="B435"/>
  <c r="B436"/>
  <c r="B437"/>
  <c r="L435"/>
  <c r="L436"/>
  <c r="L437"/>
  <c r="M435"/>
  <c r="M436"/>
  <c r="M437"/>
  <c r="B432"/>
  <c r="B433"/>
  <c r="B434"/>
  <c r="L432"/>
  <c r="L433"/>
  <c r="L434"/>
  <c r="M432"/>
  <c r="M433"/>
  <c r="M434"/>
  <c r="B428"/>
  <c r="B429"/>
  <c r="B430"/>
  <c r="B431"/>
  <c r="L428"/>
  <c r="L429"/>
  <c r="L430"/>
  <c r="L431"/>
  <c r="M428"/>
  <c r="M429"/>
  <c r="M430"/>
  <c r="M431"/>
  <c r="F433" l="1"/>
  <c r="B427" l="1"/>
  <c r="L427"/>
  <c r="M427"/>
  <c r="B419"/>
  <c r="B420"/>
  <c r="B421"/>
  <c r="B422"/>
  <c r="B423"/>
  <c r="B424"/>
  <c r="B425"/>
  <c r="B426"/>
  <c r="L419"/>
  <c r="L420"/>
  <c r="L421"/>
  <c r="L422"/>
  <c r="L423"/>
  <c r="L424"/>
  <c r="L425"/>
  <c r="L426"/>
  <c r="M419"/>
  <c r="M420"/>
  <c r="M421"/>
  <c r="M422"/>
  <c r="M423"/>
  <c r="M424"/>
  <c r="M425"/>
  <c r="M426"/>
  <c r="B418"/>
  <c r="L418"/>
  <c r="M418"/>
  <c r="B417"/>
  <c r="L417"/>
  <c r="M417"/>
  <c r="B416"/>
  <c r="L416"/>
  <c r="M416"/>
  <c r="B411"/>
  <c r="B412"/>
  <c r="B413"/>
  <c r="B414"/>
  <c r="B415"/>
  <c r="L411"/>
  <c r="L412"/>
  <c r="L413"/>
  <c r="L414"/>
  <c r="L415"/>
  <c r="M411"/>
  <c r="M412"/>
  <c r="M413"/>
  <c r="M414"/>
  <c r="M415"/>
  <c r="B401"/>
  <c r="B402"/>
  <c r="B403"/>
  <c r="B404"/>
  <c r="B405"/>
  <c r="B406"/>
  <c r="B407"/>
  <c r="B408"/>
  <c r="B409"/>
  <c r="B410"/>
  <c r="L401"/>
  <c r="L402"/>
  <c r="L403"/>
  <c r="L404"/>
  <c r="L405"/>
  <c r="L406"/>
  <c r="L407"/>
  <c r="L408"/>
  <c r="L409"/>
  <c r="L410"/>
  <c r="M401"/>
  <c r="M402"/>
  <c r="M403"/>
  <c r="M404"/>
  <c r="M405"/>
  <c r="M406"/>
  <c r="M407"/>
  <c r="M408"/>
  <c r="M409"/>
  <c r="M410"/>
  <c r="B397"/>
  <c r="B398"/>
  <c r="B399"/>
  <c r="B400"/>
  <c r="L397"/>
  <c r="L398"/>
  <c r="L399"/>
  <c r="L400"/>
  <c r="M397"/>
  <c r="M398"/>
  <c r="M399"/>
  <c r="M400"/>
  <c r="B387"/>
  <c r="B388"/>
  <c r="B389"/>
  <c r="B390"/>
  <c r="B391"/>
  <c r="B392"/>
  <c r="B393"/>
  <c r="B394"/>
  <c r="B395"/>
  <c r="B396"/>
  <c r="L387"/>
  <c r="L388"/>
  <c r="L389"/>
  <c r="L390"/>
  <c r="L391"/>
  <c r="L392"/>
  <c r="L393"/>
  <c r="L394"/>
  <c r="L395"/>
  <c r="L396"/>
  <c r="M387"/>
  <c r="M388"/>
  <c r="M389"/>
  <c r="M390"/>
  <c r="M391"/>
  <c r="M392"/>
  <c r="M393"/>
  <c r="M394"/>
  <c r="M395"/>
  <c r="M396"/>
  <c r="B386"/>
  <c r="L386"/>
  <c r="M386"/>
  <c r="B382"/>
  <c r="B383"/>
  <c r="B384"/>
  <c r="B385"/>
  <c r="L382"/>
  <c r="L383"/>
  <c r="L384"/>
  <c r="L385"/>
  <c r="M382"/>
  <c r="M383"/>
  <c r="M384"/>
  <c r="M385"/>
  <c r="B51" i="26"/>
  <c r="B364" i="25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B363"/>
  <c r="L363"/>
  <c r="M363"/>
  <c r="B358"/>
  <c r="B359"/>
  <c r="B360"/>
  <c r="B361"/>
  <c r="B362"/>
  <c r="L358"/>
  <c r="L359"/>
  <c r="L360"/>
  <c r="L361"/>
  <c r="L362"/>
  <c r="M358"/>
  <c r="M359"/>
  <c r="M360"/>
  <c r="M361"/>
  <c r="M362"/>
  <c r="B351"/>
  <c r="B352"/>
  <c r="B353"/>
  <c r="B354"/>
  <c r="B355"/>
  <c r="B356"/>
  <c r="B357"/>
  <c r="L351"/>
  <c r="L352"/>
  <c r="L353"/>
  <c r="L354"/>
  <c r="L355"/>
  <c r="L356"/>
  <c r="L357"/>
  <c r="M351"/>
  <c r="M352"/>
  <c r="M353"/>
  <c r="M354"/>
  <c r="M355"/>
  <c r="M356"/>
  <c r="M357"/>
  <c r="B347"/>
  <c r="B348"/>
  <c r="B349"/>
  <c r="B350"/>
  <c r="L347"/>
  <c r="L348"/>
  <c r="L349"/>
  <c r="L350"/>
  <c r="M347"/>
  <c r="M348"/>
  <c r="M349"/>
  <c r="M350"/>
  <c r="K337"/>
  <c r="J337"/>
  <c r="K338"/>
  <c r="J338"/>
  <c r="B340"/>
  <c r="B341"/>
  <c r="B342"/>
  <c r="B343"/>
  <c r="B344"/>
  <c r="B345"/>
  <c r="B346"/>
  <c r="L340"/>
  <c r="L341"/>
  <c r="L342"/>
  <c r="L343"/>
  <c r="L344"/>
  <c r="L345"/>
  <c r="L346"/>
  <c r="M340"/>
  <c r="M341"/>
  <c r="M342"/>
  <c r="M343"/>
  <c r="M344"/>
  <c r="M345"/>
  <c r="M346"/>
  <c r="B339"/>
  <c r="L339"/>
  <c r="M339"/>
  <c r="B338"/>
  <c r="M338"/>
  <c r="B337"/>
  <c r="L337"/>
  <c r="M337"/>
  <c r="B330"/>
  <c r="B331"/>
  <c r="B332"/>
  <c r="B333"/>
  <c r="B334"/>
  <c r="B335"/>
  <c r="B336"/>
  <c r="L330"/>
  <c r="L331"/>
  <c r="L332"/>
  <c r="L333"/>
  <c r="L334"/>
  <c r="L335"/>
  <c r="L336"/>
  <c r="M330"/>
  <c r="M331"/>
  <c r="M332"/>
  <c r="M333"/>
  <c r="M334"/>
  <c r="M335"/>
  <c r="M336"/>
  <c r="B329"/>
  <c r="L329"/>
  <c r="M329"/>
  <c r="B325"/>
  <c r="B326"/>
  <c r="B327"/>
  <c r="B328"/>
  <c r="M325"/>
  <c r="M326"/>
  <c r="M327"/>
  <c r="M328"/>
  <c r="B324"/>
  <c r="L324"/>
  <c r="M324"/>
  <c r="B323"/>
  <c r="M323"/>
  <c r="F363" l="1"/>
  <c r="L338"/>
  <c r="F417"/>
  <c r="F423"/>
  <c r="F422"/>
  <c r="F420"/>
  <c r="F421"/>
  <c r="F407"/>
  <c r="F405"/>
  <c r="F402"/>
  <c r="F406"/>
  <c r="F404"/>
  <c r="F396"/>
  <c r="F392"/>
  <c r="F390"/>
  <c r="F388"/>
  <c r="F391"/>
  <c r="F386"/>
  <c r="F365"/>
  <c r="F370"/>
  <c r="F367"/>
  <c r="F369"/>
  <c r="F366"/>
  <c r="F379"/>
  <c r="F376"/>
  <c r="F374"/>
  <c r="F372"/>
  <c r="F371"/>
  <c r="F377"/>
  <c r="F375"/>
  <c r="F380"/>
  <c r="F356"/>
  <c r="F354"/>
  <c r="F355"/>
  <c r="F341"/>
  <c r="F345"/>
  <c r="F343"/>
  <c r="F346"/>
  <c r="F344"/>
  <c r="F335"/>
  <c r="F333"/>
  <c r="F334"/>
  <c r="B322" l="1"/>
  <c r="L322"/>
  <c r="M322"/>
  <c r="B315"/>
  <c r="B316"/>
  <c r="B317"/>
  <c r="B318"/>
  <c r="B319"/>
  <c r="B320"/>
  <c r="B321"/>
  <c r="L315"/>
  <c r="L316"/>
  <c r="L317"/>
  <c r="L318"/>
  <c r="L319"/>
  <c r="L320"/>
  <c r="L321"/>
  <c r="M315"/>
  <c r="M316"/>
  <c r="M317"/>
  <c r="M318"/>
  <c r="M319"/>
  <c r="M320"/>
  <c r="M321"/>
  <c r="B313"/>
  <c r="B314"/>
  <c r="L313"/>
  <c r="L314"/>
  <c r="M313"/>
  <c r="M314"/>
  <c r="B310"/>
  <c r="B311"/>
  <c r="B312"/>
  <c r="F313" s="1"/>
  <c r="L310"/>
  <c r="L311"/>
  <c r="L312"/>
  <c r="M310"/>
  <c r="M311"/>
  <c r="M312"/>
  <c r="B302"/>
  <c r="B303"/>
  <c r="B304"/>
  <c r="B305"/>
  <c r="B306"/>
  <c r="B307"/>
  <c r="B308"/>
  <c r="B309"/>
  <c r="L302"/>
  <c r="L303"/>
  <c r="L304"/>
  <c r="L305"/>
  <c r="L306"/>
  <c r="L307"/>
  <c r="L308"/>
  <c r="L309"/>
  <c r="M302"/>
  <c r="M303"/>
  <c r="M304"/>
  <c r="M305"/>
  <c r="M306"/>
  <c r="M307"/>
  <c r="M308"/>
  <c r="M309"/>
  <c r="B297"/>
  <c r="B298"/>
  <c r="B299"/>
  <c r="B300"/>
  <c r="B301"/>
  <c r="L297"/>
  <c r="L298"/>
  <c r="L299"/>
  <c r="L300"/>
  <c r="L301"/>
  <c r="M297"/>
  <c r="M298"/>
  <c r="M299"/>
  <c r="M300"/>
  <c r="M301"/>
  <c r="B287"/>
  <c r="B288"/>
  <c r="B289"/>
  <c r="B290"/>
  <c r="B291"/>
  <c r="B292"/>
  <c r="B293"/>
  <c r="B294"/>
  <c r="B295"/>
  <c r="B296"/>
  <c r="L287"/>
  <c r="L288"/>
  <c r="L289"/>
  <c r="L290"/>
  <c r="L291"/>
  <c r="L292"/>
  <c r="L293"/>
  <c r="L294"/>
  <c r="L295"/>
  <c r="L296"/>
  <c r="M287"/>
  <c r="M288"/>
  <c r="M289"/>
  <c r="M290"/>
  <c r="M291"/>
  <c r="M292"/>
  <c r="M293"/>
  <c r="M294"/>
  <c r="M295"/>
  <c r="M296"/>
  <c r="B283"/>
  <c r="B284"/>
  <c r="B285"/>
  <c r="B286"/>
  <c r="L283"/>
  <c r="L284"/>
  <c r="L285"/>
  <c r="L286"/>
  <c r="M283"/>
  <c r="M284"/>
  <c r="M285"/>
  <c r="M286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B259"/>
  <c r="B260"/>
  <c r="B261"/>
  <c r="B262"/>
  <c r="B263"/>
  <c r="L259"/>
  <c r="L260"/>
  <c r="L261"/>
  <c r="L262"/>
  <c r="L263"/>
  <c r="M259"/>
  <c r="M260"/>
  <c r="M261"/>
  <c r="M262"/>
  <c r="M263"/>
  <c r="B257"/>
  <c r="B258"/>
  <c r="L257"/>
  <c r="L258"/>
  <c r="M257"/>
  <c r="M258"/>
  <c r="B254"/>
  <c r="B255"/>
  <c r="B256"/>
  <c r="L254"/>
  <c r="L255"/>
  <c r="L256"/>
  <c r="M254"/>
  <c r="M255"/>
  <c r="M256"/>
  <c r="B252"/>
  <c r="B253"/>
  <c r="L252"/>
  <c r="L253"/>
  <c r="M252"/>
  <c r="M253"/>
  <c r="F320" l="1"/>
  <c r="F314"/>
  <c r="F270"/>
  <c r="F303"/>
  <c r="F304"/>
  <c r="F267"/>
  <c r="F279"/>
  <c r="F276"/>
  <c r="F273"/>
  <c r="F271"/>
  <c r="F269"/>
  <c r="F265"/>
  <c r="F291"/>
  <c r="F277"/>
  <c r="F278"/>
  <c r="F280"/>
  <c r="F258"/>
  <c r="F255"/>
  <c r="F253"/>
  <c r="F254"/>
  <c r="B251" l="1"/>
  <c r="L251"/>
  <c r="M251"/>
  <c r="B250" l="1"/>
  <c r="L250"/>
  <c r="M250"/>
  <c r="B249"/>
  <c r="L249"/>
  <c r="M249"/>
  <c r="B232" l="1"/>
  <c r="B233"/>
  <c r="B234"/>
  <c r="B235"/>
  <c r="B236"/>
  <c r="B237"/>
  <c r="B238"/>
  <c r="B239"/>
  <c r="B240"/>
  <c r="B241"/>
  <c r="B242"/>
  <c r="B243"/>
  <c r="B244"/>
  <c r="B245"/>
  <c r="B246"/>
  <c r="B247"/>
  <c r="B248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B231"/>
  <c r="L231"/>
  <c r="M231"/>
  <c r="B226"/>
  <c r="B227"/>
  <c r="B228"/>
  <c r="B229"/>
  <c r="B230"/>
  <c r="L226"/>
  <c r="L227"/>
  <c r="L228"/>
  <c r="L229"/>
  <c r="L230"/>
  <c r="M226"/>
  <c r="M227"/>
  <c r="M228"/>
  <c r="M229"/>
  <c r="M230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B203"/>
  <c r="L203"/>
  <c r="M203"/>
  <c r="B198"/>
  <c r="B199"/>
  <c r="B200"/>
  <c r="B201"/>
  <c r="B202"/>
  <c r="L198"/>
  <c r="L199"/>
  <c r="L200"/>
  <c r="L201"/>
  <c r="L202"/>
  <c r="M198"/>
  <c r="M199"/>
  <c r="M200"/>
  <c r="M201"/>
  <c r="M202"/>
  <c r="B192"/>
  <c r="B193"/>
  <c r="B194"/>
  <c r="B195"/>
  <c r="B196"/>
  <c r="B197"/>
  <c r="L192"/>
  <c r="L193"/>
  <c r="L194"/>
  <c r="L195"/>
  <c r="L196"/>
  <c r="L197"/>
  <c r="M192"/>
  <c r="M193"/>
  <c r="M194"/>
  <c r="M195"/>
  <c r="M196"/>
  <c r="M197"/>
  <c r="B189"/>
  <c r="B190"/>
  <c r="B191"/>
  <c r="L189"/>
  <c r="L190"/>
  <c r="L191"/>
  <c r="M189"/>
  <c r="M190"/>
  <c r="M191"/>
  <c r="B187"/>
  <c r="B188"/>
  <c r="L187"/>
  <c r="L188"/>
  <c r="M187"/>
  <c r="M188"/>
  <c r="B182"/>
  <c r="B183"/>
  <c r="B184"/>
  <c r="B185"/>
  <c r="B186"/>
  <c r="L182"/>
  <c r="L183"/>
  <c r="L184"/>
  <c r="L185"/>
  <c r="L186"/>
  <c r="M182"/>
  <c r="M183"/>
  <c r="M184"/>
  <c r="M185"/>
  <c r="M186"/>
  <c r="B181"/>
  <c r="L181"/>
  <c r="M181"/>
  <c r="B170"/>
  <c r="B171"/>
  <c r="B172"/>
  <c r="B173"/>
  <c r="B174"/>
  <c r="B175"/>
  <c r="B176"/>
  <c r="B177"/>
  <c r="B178"/>
  <c r="B179"/>
  <c r="B180"/>
  <c r="L170"/>
  <c r="L171"/>
  <c r="L172"/>
  <c r="L173"/>
  <c r="L174"/>
  <c r="L175"/>
  <c r="L176"/>
  <c r="L177"/>
  <c r="L178"/>
  <c r="L179"/>
  <c r="L180"/>
  <c r="M170"/>
  <c r="M171"/>
  <c r="M172"/>
  <c r="M173"/>
  <c r="M174"/>
  <c r="M175"/>
  <c r="M176"/>
  <c r="M177"/>
  <c r="M178"/>
  <c r="M179"/>
  <c r="M180"/>
  <c r="B169"/>
  <c r="L169"/>
  <c r="M169"/>
  <c r="B164"/>
  <c r="B165"/>
  <c r="B166"/>
  <c r="B167"/>
  <c r="B168"/>
  <c r="L164"/>
  <c r="L165"/>
  <c r="L166"/>
  <c r="L167"/>
  <c r="L168"/>
  <c r="M164"/>
  <c r="M165"/>
  <c r="M166"/>
  <c r="M167"/>
  <c r="M168"/>
  <c r="F237" l="1"/>
  <c r="F242"/>
  <c r="F233"/>
  <c r="F211"/>
  <c r="F241"/>
  <c r="F235"/>
  <c r="F203"/>
  <c r="F246"/>
  <c r="F244"/>
  <c r="F231"/>
  <c r="F243"/>
  <c r="F217"/>
  <c r="F206"/>
  <c r="F245"/>
  <c r="F219"/>
  <c r="F215"/>
  <c r="F209"/>
  <c r="F224"/>
  <c r="F221"/>
  <c r="F218"/>
  <c r="F216"/>
  <c r="F214"/>
  <c r="F210"/>
  <c r="F207"/>
  <c r="F223"/>
  <c r="F220"/>
  <c r="F197"/>
  <c r="F196"/>
  <c r="F190"/>
  <c r="F176"/>
  <c r="F179"/>
  <c r="F175"/>
  <c r="F174"/>
  <c r="F171"/>
  <c r="F169"/>
  <c r="B163"/>
  <c r="B162"/>
  <c r="B161"/>
  <c r="B160"/>
  <c r="B159"/>
  <c r="B158"/>
  <c r="B157"/>
  <c r="B156"/>
  <c r="B155"/>
  <c r="B154"/>
  <c r="B153"/>
  <c r="B152"/>
  <c r="B151"/>
  <c r="B150"/>
  <c r="B149"/>
  <c r="B148"/>
  <c r="D147"/>
  <c r="B147"/>
  <c r="D146"/>
  <c r="B146"/>
  <c r="D145"/>
  <c r="B145"/>
  <c r="D144"/>
  <c r="B144"/>
  <c r="D143"/>
  <c r="B143"/>
  <c r="M153"/>
  <c r="E146"/>
  <c r="M154"/>
  <c r="M147"/>
  <c r="M155"/>
  <c r="M156"/>
  <c r="M157"/>
  <c r="M158"/>
  <c r="M159"/>
  <c r="M160"/>
  <c r="M161"/>
  <c r="M162"/>
  <c r="M163"/>
  <c r="M152"/>
  <c r="D649" l="1"/>
  <c r="D648"/>
  <c r="D650"/>
  <c r="D644"/>
  <c r="D646"/>
  <c r="D645"/>
  <c r="D647"/>
  <c r="D641"/>
  <c r="D643"/>
  <c r="D638"/>
  <c r="D642"/>
  <c r="D639"/>
  <c r="D640"/>
  <c r="D635"/>
  <c r="D637"/>
  <c r="D632"/>
  <c r="D636"/>
  <c r="D633"/>
  <c r="D634"/>
  <c r="D631"/>
  <c r="D628"/>
  <c r="D630"/>
  <c r="D625"/>
  <c r="D629"/>
  <c r="D627"/>
  <c r="D624"/>
  <c r="D626"/>
  <c r="D618"/>
  <c r="D620"/>
  <c r="D622"/>
  <c r="D613"/>
  <c r="D615"/>
  <c r="D617"/>
  <c r="D619"/>
  <c r="D621"/>
  <c r="D623"/>
  <c r="D614"/>
  <c r="D616"/>
  <c r="D148"/>
  <c r="D609"/>
  <c r="D611"/>
  <c r="D604"/>
  <c r="D606"/>
  <c r="D600"/>
  <c r="D602"/>
  <c r="D608"/>
  <c r="D610"/>
  <c r="D612"/>
  <c r="D605"/>
  <c r="D607"/>
  <c r="D601"/>
  <c r="D603"/>
  <c r="D596"/>
  <c r="D598"/>
  <c r="D595"/>
  <c r="D597"/>
  <c r="D599"/>
  <c r="D594"/>
  <c r="D586"/>
  <c r="D588"/>
  <c r="D590"/>
  <c r="D592"/>
  <c r="D579"/>
  <c r="D581"/>
  <c r="D583"/>
  <c r="D585"/>
  <c r="D575"/>
  <c r="D577"/>
  <c r="D593"/>
  <c r="D587"/>
  <c r="D589"/>
  <c r="D591"/>
  <c r="D578"/>
  <c r="D580"/>
  <c r="D582"/>
  <c r="D584"/>
  <c r="D574"/>
  <c r="D576"/>
  <c r="D571"/>
  <c r="D573"/>
  <c r="D570"/>
  <c r="D572"/>
  <c r="D569"/>
  <c r="D567"/>
  <c r="D568"/>
  <c r="D566"/>
  <c r="D563"/>
  <c r="D565"/>
  <c r="D562"/>
  <c r="D564"/>
  <c r="D561"/>
  <c r="D560"/>
  <c r="D556"/>
  <c r="D558"/>
  <c r="D559"/>
  <c r="D555"/>
  <c r="D557"/>
  <c r="D553"/>
  <c r="D552"/>
  <c r="D554"/>
  <c r="D550"/>
  <c r="D548"/>
  <c r="D544"/>
  <c r="D546"/>
  <c r="D549"/>
  <c r="D551"/>
  <c r="D545"/>
  <c r="D547"/>
  <c r="D542"/>
  <c r="D538"/>
  <c r="D540"/>
  <c r="D543"/>
  <c r="D539"/>
  <c r="D541"/>
  <c r="D537"/>
  <c r="D533"/>
  <c r="D535"/>
  <c r="D536"/>
  <c r="D532"/>
  <c r="D534"/>
  <c r="D523"/>
  <c r="D525"/>
  <c r="D527"/>
  <c r="D529"/>
  <c r="D531"/>
  <c r="D519"/>
  <c r="D521"/>
  <c r="D522"/>
  <c r="D524"/>
  <c r="D526"/>
  <c r="D528"/>
  <c r="D530"/>
  <c r="D518"/>
  <c r="D520"/>
  <c r="D515"/>
  <c r="D517"/>
  <c r="D516"/>
  <c r="D512"/>
  <c r="D514"/>
  <c r="D508"/>
  <c r="D510"/>
  <c r="D511"/>
  <c r="D513"/>
  <c r="D509"/>
  <c r="D503"/>
  <c r="D505"/>
  <c r="D507"/>
  <c r="D502"/>
  <c r="D499"/>
  <c r="D501"/>
  <c r="D495"/>
  <c r="D493"/>
  <c r="D504"/>
  <c r="D506"/>
  <c r="D498"/>
  <c r="D500"/>
  <c r="D494"/>
  <c r="D496"/>
  <c r="D497"/>
  <c r="D490"/>
  <c r="D492"/>
  <c r="D482"/>
  <c r="D484"/>
  <c r="D486"/>
  <c r="D488"/>
  <c r="D478"/>
  <c r="D480"/>
  <c r="D489"/>
  <c r="D491"/>
  <c r="D481"/>
  <c r="D483"/>
  <c r="D485"/>
  <c r="D487"/>
  <c r="D477"/>
  <c r="D479"/>
  <c r="D149"/>
  <c r="D476"/>
  <c r="D475"/>
  <c r="D472"/>
  <c r="D474"/>
  <c r="D471"/>
  <c r="D473"/>
  <c r="D150"/>
  <c r="D467"/>
  <c r="D469"/>
  <c r="D466"/>
  <c r="D461"/>
  <c r="D465"/>
  <c r="D468"/>
  <c r="D470"/>
  <c r="D462"/>
  <c r="D464"/>
  <c r="D463"/>
  <c r="D152"/>
  <c r="D151"/>
  <c r="D154"/>
  <c r="D153"/>
  <c r="D158"/>
  <c r="D460"/>
  <c r="D459"/>
  <c r="D457"/>
  <c r="D454"/>
  <c r="D458"/>
  <c r="D453"/>
  <c r="D455"/>
  <c r="D456"/>
  <c r="D444"/>
  <c r="D446"/>
  <c r="D448"/>
  <c r="D450"/>
  <c r="D452"/>
  <c r="D445"/>
  <c r="D447"/>
  <c r="D449"/>
  <c r="D451"/>
  <c r="D439"/>
  <c r="D441"/>
  <c r="D443"/>
  <c r="D440"/>
  <c r="D442"/>
  <c r="D438"/>
  <c r="D435"/>
  <c r="D437"/>
  <c r="D432"/>
  <c r="D434"/>
  <c r="D429"/>
  <c r="D436"/>
  <c r="D433"/>
  <c r="D428"/>
  <c r="D430"/>
  <c r="D431"/>
  <c r="D427"/>
  <c r="D420"/>
  <c r="D422"/>
  <c r="D424"/>
  <c r="D426"/>
  <c r="D418"/>
  <c r="D417"/>
  <c r="D416"/>
  <c r="D411"/>
  <c r="D413"/>
  <c r="D415"/>
  <c r="D402"/>
  <c r="D404"/>
  <c r="D406"/>
  <c r="D408"/>
  <c r="D410"/>
  <c r="D398"/>
  <c r="D400"/>
  <c r="D388"/>
  <c r="D390"/>
  <c r="D392"/>
  <c r="D394"/>
  <c r="D396"/>
  <c r="D386"/>
  <c r="D383"/>
  <c r="D385"/>
  <c r="D364"/>
  <c r="D366"/>
  <c r="D368"/>
  <c r="D370"/>
  <c r="D372"/>
  <c r="D374"/>
  <c r="D376"/>
  <c r="D378"/>
  <c r="D380"/>
  <c r="D359"/>
  <c r="D361"/>
  <c r="D352"/>
  <c r="D354"/>
  <c r="D356"/>
  <c r="D347"/>
  <c r="D349"/>
  <c r="D419"/>
  <c r="D421"/>
  <c r="D423"/>
  <c r="D425"/>
  <c r="D412"/>
  <c r="D414"/>
  <c r="D401"/>
  <c r="D403"/>
  <c r="D405"/>
  <c r="D407"/>
  <c r="D409"/>
  <c r="D397"/>
  <c r="D399"/>
  <c r="D387"/>
  <c r="D389"/>
  <c r="D391"/>
  <c r="D393"/>
  <c r="D395"/>
  <c r="D382"/>
  <c r="D384"/>
  <c r="D365"/>
  <c r="D367"/>
  <c r="D369"/>
  <c r="D371"/>
  <c r="D373"/>
  <c r="D375"/>
  <c r="D377"/>
  <c r="D379"/>
  <c r="D381"/>
  <c r="D363"/>
  <c r="D358"/>
  <c r="D360"/>
  <c r="D362"/>
  <c r="D351"/>
  <c r="D353"/>
  <c r="D355"/>
  <c r="D357"/>
  <c r="D348"/>
  <c r="D350"/>
  <c r="D155"/>
  <c r="D156"/>
  <c r="D157"/>
  <c r="D160"/>
  <c r="D340"/>
  <c r="D342"/>
  <c r="D344"/>
  <c r="D346"/>
  <c r="D331"/>
  <c r="D333"/>
  <c r="D335"/>
  <c r="D325"/>
  <c r="D327"/>
  <c r="D328"/>
  <c r="D323"/>
  <c r="D341"/>
  <c r="D343"/>
  <c r="D345"/>
  <c r="D339"/>
  <c r="D338"/>
  <c r="D337"/>
  <c r="D330"/>
  <c r="D332"/>
  <c r="D334"/>
  <c r="D336"/>
  <c r="D329"/>
  <c r="D326"/>
  <c r="D324"/>
  <c r="D322"/>
  <c r="D315"/>
  <c r="D317"/>
  <c r="D319"/>
  <c r="D321"/>
  <c r="D314"/>
  <c r="D310"/>
  <c r="D312"/>
  <c r="D303"/>
  <c r="D305"/>
  <c r="D307"/>
  <c r="D309"/>
  <c r="D297"/>
  <c r="D299"/>
  <c r="D301"/>
  <c r="D288"/>
  <c r="D290"/>
  <c r="D292"/>
  <c r="D294"/>
  <c r="D296"/>
  <c r="D284"/>
  <c r="D286"/>
  <c r="D264"/>
  <c r="D266"/>
  <c r="D268"/>
  <c r="D270"/>
  <c r="D272"/>
  <c r="D274"/>
  <c r="D276"/>
  <c r="D280"/>
  <c r="D259"/>
  <c r="D263"/>
  <c r="D254"/>
  <c r="D253"/>
  <c r="D316"/>
  <c r="D318"/>
  <c r="D320"/>
  <c r="D313"/>
  <c r="D311"/>
  <c r="D302"/>
  <c r="D304"/>
  <c r="D306"/>
  <c r="D308"/>
  <c r="D298"/>
  <c r="D300"/>
  <c r="D287"/>
  <c r="D289"/>
  <c r="D291"/>
  <c r="D293"/>
  <c r="D295"/>
  <c r="D283"/>
  <c r="D285"/>
  <c r="D265"/>
  <c r="D267"/>
  <c r="D269"/>
  <c r="D271"/>
  <c r="D273"/>
  <c r="D275"/>
  <c r="D277"/>
  <c r="D279"/>
  <c r="D281"/>
  <c r="D260"/>
  <c r="D262"/>
  <c r="D257"/>
  <c r="D255"/>
  <c r="D252"/>
  <c r="D278"/>
  <c r="D282"/>
  <c r="D261"/>
  <c r="D258"/>
  <c r="D256"/>
  <c r="D159"/>
  <c r="D251"/>
  <c r="D250"/>
  <c r="D249"/>
  <c r="D233"/>
  <c r="D235"/>
  <c r="D237"/>
  <c r="D239"/>
  <c r="D241"/>
  <c r="D243"/>
  <c r="D245"/>
  <c r="D247"/>
  <c r="D231"/>
  <c r="D226"/>
  <c r="D228"/>
  <c r="D230"/>
  <c r="D205"/>
  <c r="D207"/>
  <c r="D209"/>
  <c r="D211"/>
  <c r="D213"/>
  <c r="D215"/>
  <c r="D217"/>
  <c r="D219"/>
  <c r="D221"/>
  <c r="D223"/>
  <c r="D225"/>
  <c r="D199"/>
  <c r="D201"/>
  <c r="D192"/>
  <c r="D194"/>
  <c r="D196"/>
  <c r="D190"/>
  <c r="D187"/>
  <c r="D183"/>
  <c r="D185"/>
  <c r="D171"/>
  <c r="D173"/>
  <c r="D175"/>
  <c r="D177"/>
  <c r="D179"/>
  <c r="D165"/>
  <c r="D167"/>
  <c r="D164"/>
  <c r="D168"/>
  <c r="D232"/>
  <c r="D234"/>
  <c r="D236"/>
  <c r="D238"/>
  <c r="D240"/>
  <c r="D242"/>
  <c r="D244"/>
  <c r="D246"/>
  <c r="D248"/>
  <c r="D227"/>
  <c r="D229"/>
  <c r="D204"/>
  <c r="D206"/>
  <c r="D208"/>
  <c r="D210"/>
  <c r="D212"/>
  <c r="D214"/>
  <c r="D216"/>
  <c r="D218"/>
  <c r="D220"/>
  <c r="D222"/>
  <c r="D224"/>
  <c r="D203"/>
  <c r="D198"/>
  <c r="D200"/>
  <c r="D202"/>
  <c r="D193"/>
  <c r="D195"/>
  <c r="D197"/>
  <c r="D189"/>
  <c r="D191"/>
  <c r="D188"/>
  <c r="D182"/>
  <c r="D184"/>
  <c r="D186"/>
  <c r="D181"/>
  <c r="D170"/>
  <c r="D172"/>
  <c r="D174"/>
  <c r="D176"/>
  <c r="D178"/>
  <c r="D180"/>
  <c r="D169"/>
  <c r="D166"/>
  <c r="D161"/>
  <c r="D162"/>
  <c r="D163"/>
  <c r="F147"/>
  <c r="F157"/>
  <c r="F159"/>
  <c r="F161"/>
  <c r="F152"/>
  <c r="F154"/>
  <c r="F156"/>
  <c r="F158"/>
  <c r="F162"/>
  <c r="F163"/>
  <c r="M146" l="1"/>
  <c r="M148"/>
  <c r="M149"/>
  <c r="M150"/>
  <c r="M151"/>
  <c r="B141" l="1"/>
  <c r="B142"/>
  <c r="D141"/>
  <c r="D142"/>
  <c r="L141"/>
  <c r="L142"/>
  <c r="L143"/>
  <c r="L144"/>
  <c r="L145"/>
  <c r="M141"/>
  <c r="M142"/>
  <c r="M143"/>
  <c r="M144"/>
  <c r="M145"/>
  <c r="B140"/>
  <c r="D140"/>
  <c r="L140"/>
  <c r="M140"/>
  <c r="B137"/>
  <c r="B138"/>
  <c r="B139"/>
  <c r="D137"/>
  <c r="D138"/>
  <c r="D139"/>
  <c r="L137"/>
  <c r="L138"/>
  <c r="L139"/>
  <c r="M137"/>
  <c r="M138"/>
  <c r="M139"/>
  <c r="B136"/>
  <c r="D136"/>
  <c r="L136"/>
  <c r="M136"/>
  <c r="B135"/>
  <c r="D135"/>
  <c r="L135"/>
  <c r="M135"/>
  <c r="F143" l="1"/>
  <c r="B131" l="1"/>
  <c r="B132"/>
  <c r="B133"/>
  <c r="B134"/>
  <c r="D131"/>
  <c r="D132"/>
  <c r="D133"/>
  <c r="D134"/>
  <c r="L131"/>
  <c r="L132"/>
  <c r="L133"/>
  <c r="L134"/>
  <c r="M131"/>
  <c r="M132"/>
  <c r="M133"/>
  <c r="M134"/>
  <c r="B130"/>
  <c r="D130"/>
  <c r="L130"/>
  <c r="M130"/>
  <c r="B129"/>
  <c r="D129"/>
  <c r="L129"/>
  <c r="M129"/>
  <c r="B125"/>
  <c r="B126"/>
  <c r="B127"/>
  <c r="B128"/>
  <c r="D125"/>
  <c r="D126"/>
  <c r="D127"/>
  <c r="D128"/>
  <c r="L125"/>
  <c r="L126"/>
  <c r="L127"/>
  <c r="L128"/>
  <c r="M125"/>
  <c r="M126"/>
  <c r="M127"/>
  <c r="M128"/>
  <c r="B124"/>
  <c r="D124"/>
  <c r="L124"/>
  <c r="M124"/>
  <c r="B123"/>
  <c r="D123"/>
  <c r="L123"/>
  <c r="M123"/>
  <c r="B113"/>
  <c r="B114"/>
  <c r="B115"/>
  <c r="B116"/>
  <c r="B117"/>
  <c r="B118"/>
  <c r="B119"/>
  <c r="B120"/>
  <c r="B121"/>
  <c r="B122"/>
  <c r="D113"/>
  <c r="D114"/>
  <c r="D115"/>
  <c r="D116"/>
  <c r="D117"/>
  <c r="D118"/>
  <c r="D119"/>
  <c r="D120"/>
  <c r="D121"/>
  <c r="D122"/>
  <c r="L113"/>
  <c r="L114"/>
  <c r="L115"/>
  <c r="L116"/>
  <c r="L117"/>
  <c r="L118"/>
  <c r="L119"/>
  <c r="L120"/>
  <c r="L121"/>
  <c r="L122"/>
  <c r="M113"/>
  <c r="M114"/>
  <c r="M115"/>
  <c r="M116"/>
  <c r="M117"/>
  <c r="M118"/>
  <c r="M119"/>
  <c r="M120"/>
  <c r="M121"/>
  <c r="M122"/>
  <c r="B111"/>
  <c r="B112"/>
  <c r="D111"/>
  <c r="D112"/>
  <c r="L111"/>
  <c r="L112"/>
  <c r="M111"/>
  <c r="M112"/>
  <c r="B108"/>
  <c r="D108"/>
  <c r="L108"/>
  <c r="M108"/>
  <c r="B107"/>
  <c r="B109"/>
  <c r="B110"/>
  <c r="D107"/>
  <c r="D109"/>
  <c r="D110"/>
  <c r="L107"/>
  <c r="L109"/>
  <c r="L110"/>
  <c r="M107"/>
  <c r="M109"/>
  <c r="M110"/>
  <c r="B106"/>
  <c r="D106"/>
  <c r="L106"/>
  <c r="M106"/>
  <c r="B105"/>
  <c r="D105"/>
  <c r="L105"/>
  <c r="M105"/>
  <c r="B93"/>
  <c r="B94"/>
  <c r="B95"/>
  <c r="B96"/>
  <c r="B97"/>
  <c r="B98"/>
  <c r="B99"/>
  <c r="B100"/>
  <c r="B101"/>
  <c r="B102"/>
  <c r="B103"/>
  <c r="B104"/>
  <c r="D93"/>
  <c r="D94"/>
  <c r="D95"/>
  <c r="D96"/>
  <c r="D97"/>
  <c r="D98"/>
  <c r="D99"/>
  <c r="D100"/>
  <c r="D101"/>
  <c r="D102"/>
  <c r="D103"/>
  <c r="D104"/>
  <c r="L93"/>
  <c r="L94"/>
  <c r="L95"/>
  <c r="L96"/>
  <c r="L97"/>
  <c r="L98"/>
  <c r="L99"/>
  <c r="L100"/>
  <c r="L101"/>
  <c r="L102"/>
  <c r="L103"/>
  <c r="L104"/>
  <c r="M93"/>
  <c r="M94"/>
  <c r="M95"/>
  <c r="M96"/>
  <c r="M97"/>
  <c r="M98"/>
  <c r="M99"/>
  <c r="M100"/>
  <c r="M101"/>
  <c r="M102"/>
  <c r="M103"/>
  <c r="M104"/>
  <c r="B92"/>
  <c r="D92"/>
  <c r="L92"/>
  <c r="M92"/>
  <c r="B91"/>
  <c r="D91"/>
  <c r="L91"/>
  <c r="M91"/>
  <c r="K90"/>
  <c r="J90"/>
  <c r="L90" s="1"/>
  <c r="B90"/>
  <c r="D90"/>
  <c r="M90"/>
  <c r="B89"/>
  <c r="D89"/>
  <c r="L89"/>
  <c r="M89"/>
  <c r="B88"/>
  <c r="D88"/>
  <c r="L88"/>
  <c r="M88"/>
  <c r="K87"/>
  <c r="J87"/>
  <c r="B87"/>
  <c r="D87"/>
  <c r="M87"/>
  <c r="B86"/>
  <c r="D86"/>
  <c r="L86"/>
  <c r="M86"/>
  <c r="K85"/>
  <c r="J85"/>
  <c r="L85" s="1"/>
  <c r="B85"/>
  <c r="D85"/>
  <c r="M85"/>
  <c r="B84"/>
  <c r="D84"/>
  <c r="L84"/>
  <c r="M84"/>
  <c r="B83"/>
  <c r="D83"/>
  <c r="L83"/>
  <c r="M83"/>
  <c r="B82"/>
  <c r="D82"/>
  <c r="M82"/>
  <c r="B81"/>
  <c r="D81"/>
  <c r="M81"/>
  <c r="B80"/>
  <c r="D80"/>
  <c r="M80"/>
  <c r="B75"/>
  <c r="B76"/>
  <c r="B77"/>
  <c r="B78"/>
  <c r="B79"/>
  <c r="D75"/>
  <c r="D76"/>
  <c r="D77"/>
  <c r="D78"/>
  <c r="D79"/>
  <c r="L75"/>
  <c r="L76"/>
  <c r="L77"/>
  <c r="L78"/>
  <c r="L79"/>
  <c r="M75"/>
  <c r="M76"/>
  <c r="M77"/>
  <c r="M78"/>
  <c r="M79"/>
  <c r="B73"/>
  <c r="B74"/>
  <c r="D73"/>
  <c r="D74"/>
  <c r="L73"/>
  <c r="L74"/>
  <c r="M73"/>
  <c r="M74"/>
  <c r="B68"/>
  <c r="B69"/>
  <c r="B70"/>
  <c r="B71"/>
  <c r="B72"/>
  <c r="D68"/>
  <c r="D69"/>
  <c r="D70"/>
  <c r="D71"/>
  <c r="D72"/>
  <c r="L68"/>
  <c r="L69"/>
  <c r="L70"/>
  <c r="L71"/>
  <c r="L72"/>
  <c r="M68"/>
  <c r="M69"/>
  <c r="M70"/>
  <c r="M71"/>
  <c r="M72"/>
  <c r="B67"/>
  <c r="D67"/>
  <c r="L67"/>
  <c r="M67"/>
  <c r="B65"/>
  <c r="B66"/>
  <c r="D65"/>
  <c r="D66"/>
  <c r="L65"/>
  <c r="L66"/>
  <c r="M65"/>
  <c r="M66"/>
  <c r="B64"/>
  <c r="D64"/>
  <c r="L64"/>
  <c r="M64"/>
  <c r="B63"/>
  <c r="D63"/>
  <c r="L63"/>
  <c r="M63"/>
  <c r="B62"/>
  <c r="D62"/>
  <c r="L62"/>
  <c r="M62"/>
  <c r="B61"/>
  <c r="D61"/>
  <c r="L61"/>
  <c r="M61"/>
  <c r="B56"/>
  <c r="B57"/>
  <c r="B58"/>
  <c r="B59"/>
  <c r="B60"/>
  <c r="D56"/>
  <c r="D57"/>
  <c r="D58"/>
  <c r="D59"/>
  <c r="D60"/>
  <c r="L56"/>
  <c r="L57"/>
  <c r="L58"/>
  <c r="L59"/>
  <c r="L60"/>
  <c r="M56"/>
  <c r="M57"/>
  <c r="M58"/>
  <c r="M59"/>
  <c r="M60"/>
  <c r="B55"/>
  <c r="D55"/>
  <c r="L55"/>
  <c r="M55"/>
  <c r="F62" l="1"/>
  <c r="L87"/>
  <c r="F133"/>
  <c r="F129"/>
  <c r="F118"/>
  <c r="F115"/>
  <c r="F112"/>
  <c r="F117"/>
  <c r="F114"/>
  <c r="F102"/>
  <c r="F100"/>
  <c r="F97"/>
  <c r="F103"/>
  <c r="F99"/>
  <c r="F78"/>
  <c r="F84"/>
  <c r="F70"/>
  <c r="F58"/>
  <c r="L54"/>
  <c r="B53"/>
  <c r="B54"/>
  <c r="D53"/>
  <c r="D54"/>
  <c r="L53"/>
  <c r="M53"/>
  <c r="M54"/>
  <c r="B50"/>
  <c r="B51"/>
  <c r="B52"/>
  <c r="D50"/>
  <c r="D51"/>
  <c r="D52"/>
  <c r="L50"/>
  <c r="L51"/>
  <c r="L52"/>
  <c r="M50"/>
  <c r="M51"/>
  <c r="M52"/>
  <c r="B48"/>
  <c r="B49"/>
  <c r="D48"/>
  <c r="D49"/>
  <c r="L48"/>
  <c r="L49"/>
  <c r="M48"/>
  <c r="M49"/>
  <c r="B47"/>
  <c r="D47"/>
  <c r="L47"/>
  <c r="M47"/>
  <c r="B46"/>
  <c r="D46"/>
  <c r="L46"/>
  <c r="M46"/>
  <c r="B43"/>
  <c r="B44"/>
  <c r="B45"/>
  <c r="D43"/>
  <c r="D44"/>
  <c r="D45"/>
  <c r="L43"/>
  <c r="L44"/>
  <c r="L45"/>
  <c r="M43"/>
  <c r="M44"/>
  <c r="M45"/>
  <c r="B41"/>
  <c r="B42"/>
  <c r="D41"/>
  <c r="D42"/>
  <c r="L41"/>
  <c r="L42"/>
  <c r="M41"/>
  <c r="M42"/>
  <c r="B38"/>
  <c r="B39"/>
  <c r="B40"/>
  <c r="D38"/>
  <c r="D39"/>
  <c r="D40"/>
  <c r="L38"/>
  <c r="L39"/>
  <c r="L40"/>
  <c r="M38"/>
  <c r="M39"/>
  <c r="M40"/>
  <c r="B37"/>
  <c r="D37"/>
  <c r="L37"/>
  <c r="M37"/>
  <c r="B54" i="33"/>
  <c r="B77"/>
  <c r="B5"/>
  <c r="B97"/>
  <c r="P115"/>
  <c r="O115"/>
  <c r="N115"/>
  <c r="M115"/>
  <c r="L115"/>
  <c r="G115"/>
  <c r="F115"/>
  <c r="P114"/>
  <c r="O114"/>
  <c r="N114"/>
  <c r="M114"/>
  <c r="L114"/>
  <c r="G114"/>
  <c r="F114"/>
  <c r="P113"/>
  <c r="O113"/>
  <c r="N113"/>
  <c r="M113"/>
  <c r="L113"/>
  <c r="G113"/>
  <c r="F113"/>
  <c r="P112"/>
  <c r="O112"/>
  <c r="N112"/>
  <c r="M112"/>
  <c r="L112"/>
  <c r="G112"/>
  <c r="F112"/>
  <c r="P111"/>
  <c r="O111"/>
  <c r="N111"/>
  <c r="M111"/>
  <c r="L111"/>
  <c r="G111"/>
  <c r="F111"/>
  <c r="P110"/>
  <c r="O110"/>
  <c r="N110"/>
  <c r="M110"/>
  <c r="L110"/>
  <c r="G110"/>
  <c r="F110"/>
  <c r="P109"/>
  <c r="O109"/>
  <c r="N109"/>
  <c r="M109"/>
  <c r="L109"/>
  <c r="G109"/>
  <c r="F109"/>
  <c r="P108"/>
  <c r="O108"/>
  <c r="N108"/>
  <c r="M108"/>
  <c r="L108"/>
  <c r="G108"/>
  <c r="F108"/>
  <c r="P107"/>
  <c r="O107"/>
  <c r="N107"/>
  <c r="M107"/>
  <c r="L107"/>
  <c r="G107"/>
  <c r="F107"/>
  <c r="P106"/>
  <c r="O106"/>
  <c r="N106"/>
  <c r="M106"/>
  <c r="L106"/>
  <c r="G106"/>
  <c r="F106"/>
  <c r="P105"/>
  <c r="O105"/>
  <c r="N105"/>
  <c r="M105"/>
  <c r="L105"/>
  <c r="G105"/>
  <c r="F105"/>
  <c r="P104"/>
  <c r="O104"/>
  <c r="N104"/>
  <c r="G104"/>
  <c r="F104"/>
  <c r="L104"/>
  <c r="M104"/>
  <c r="B104"/>
  <c r="F6" i="34"/>
  <c r="F9" s="1"/>
  <c r="I6"/>
  <c r="I9" s="1"/>
  <c r="H6"/>
  <c r="H8" s="1"/>
  <c r="G6"/>
  <c r="G9" s="1"/>
  <c r="F47" i="25" l="1"/>
  <c r="F45"/>
  <c r="I8" i="34"/>
  <c r="H7"/>
  <c r="H10" s="1"/>
  <c r="H11" s="1"/>
  <c r="H9"/>
  <c r="G8"/>
  <c r="F8"/>
  <c r="I7"/>
  <c r="I10" s="1"/>
  <c r="I11" s="1"/>
  <c r="G7"/>
  <c r="F7"/>
  <c r="F10" s="1"/>
  <c r="F11" s="1"/>
  <c r="G10" l="1"/>
  <c r="G11" s="1"/>
  <c r="F3" s="1"/>
  <c r="B105" i="33" l="1"/>
  <c r="B106" s="1"/>
  <c r="B107" s="1"/>
  <c r="B108" s="1"/>
  <c r="B109" s="1"/>
  <c r="B110" s="1"/>
  <c r="B111" s="1"/>
  <c r="B112" s="1"/>
  <c r="B113" s="1"/>
  <c r="B114" s="1"/>
  <c r="B115" s="1"/>
  <c r="D102"/>
  <c r="E102" s="1"/>
  <c r="F102" s="1"/>
  <c r="G102" s="1"/>
  <c r="H102" s="1"/>
  <c r="I102" s="1"/>
  <c r="J102" s="1"/>
  <c r="K102" s="1"/>
  <c r="L102" s="1"/>
  <c r="M102" s="1"/>
  <c r="N102" s="1"/>
  <c r="O102" s="1"/>
  <c r="P102" s="1"/>
  <c r="C63"/>
  <c r="C64" s="1"/>
  <c r="C65" s="1"/>
  <c r="C66" s="1"/>
  <c r="C67" s="1"/>
  <c r="C68" s="1"/>
  <c r="B62"/>
  <c r="B63" s="1"/>
  <c r="B64" s="1"/>
  <c r="B65" s="1"/>
  <c r="B66" s="1"/>
  <c r="B67" s="1"/>
  <c r="B68" s="1"/>
  <c r="B55"/>
  <c r="D60"/>
  <c r="E60" s="1"/>
  <c r="F60" s="1"/>
  <c r="G60" s="1"/>
  <c r="H60" s="1"/>
  <c r="I60" s="1"/>
  <c r="J60" s="1"/>
  <c r="K60" s="1"/>
  <c r="L60" s="1"/>
  <c r="M60" s="1"/>
  <c r="N60" s="1"/>
  <c r="O60" s="1"/>
  <c r="P60" s="1"/>
  <c r="B84"/>
  <c r="B85" s="1"/>
  <c r="C85" s="1"/>
  <c r="B12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K370" i="23"/>
  <c r="J370"/>
  <c r="I370"/>
  <c r="H370"/>
  <c r="E370"/>
  <c r="D370"/>
  <c r="K369"/>
  <c r="J369"/>
  <c r="I369"/>
  <c r="H369"/>
  <c r="E369"/>
  <c r="D369"/>
  <c r="K368"/>
  <c r="J368"/>
  <c r="I368"/>
  <c r="H368"/>
  <c r="E368"/>
  <c r="D368"/>
  <c r="K367"/>
  <c r="J367"/>
  <c r="I367"/>
  <c r="H367"/>
  <c r="E367"/>
  <c r="D367"/>
  <c r="K366"/>
  <c r="J366"/>
  <c r="I366"/>
  <c r="H366"/>
  <c r="E366"/>
  <c r="D366"/>
  <c r="K365"/>
  <c r="J365"/>
  <c r="I365"/>
  <c r="H365"/>
  <c r="E365"/>
  <c r="D365"/>
  <c r="K364"/>
  <c r="J364"/>
  <c r="I364"/>
  <c r="H364"/>
  <c r="E364"/>
  <c r="D364"/>
  <c r="K363"/>
  <c r="J363"/>
  <c r="I363"/>
  <c r="H363"/>
  <c r="E363"/>
  <c r="D363"/>
  <c r="K362"/>
  <c r="J362"/>
  <c r="I362"/>
  <c r="H362"/>
  <c r="E362"/>
  <c r="D362"/>
  <c r="K361"/>
  <c r="J361"/>
  <c r="I361"/>
  <c r="H361"/>
  <c r="E361"/>
  <c r="D361"/>
  <c r="K360"/>
  <c r="J360"/>
  <c r="I360"/>
  <c r="H360"/>
  <c r="E360"/>
  <c r="D360"/>
  <c r="K359"/>
  <c r="J359"/>
  <c r="I359"/>
  <c r="H359"/>
  <c r="E359"/>
  <c r="D359"/>
  <c r="K358"/>
  <c r="J358"/>
  <c r="I358"/>
  <c r="H358"/>
  <c r="E358"/>
  <c r="D358"/>
  <c r="K357"/>
  <c r="J357"/>
  <c r="I357"/>
  <c r="H357"/>
  <c r="E357"/>
  <c r="D357"/>
  <c r="K356"/>
  <c r="J356"/>
  <c r="I356"/>
  <c r="H356"/>
  <c r="E356"/>
  <c r="D356"/>
  <c r="K355"/>
  <c r="J355"/>
  <c r="I355"/>
  <c r="H355"/>
  <c r="E355"/>
  <c r="D355"/>
  <c r="K354"/>
  <c r="J354"/>
  <c r="I354"/>
  <c r="H354"/>
  <c r="E354"/>
  <c r="D354"/>
  <c r="K353"/>
  <c r="J353"/>
  <c r="I353"/>
  <c r="H353"/>
  <c r="E353"/>
  <c r="D353"/>
  <c r="K352"/>
  <c r="J352"/>
  <c r="I352"/>
  <c r="H352"/>
  <c r="E352"/>
  <c r="D352"/>
  <c r="K351"/>
  <c r="J351"/>
  <c r="I351"/>
  <c r="H351"/>
  <c r="E351"/>
  <c r="D351"/>
  <c r="K350"/>
  <c r="J350"/>
  <c r="I350"/>
  <c r="H350"/>
  <c r="E350"/>
  <c r="D350"/>
  <c r="K349"/>
  <c r="J349"/>
  <c r="I349"/>
  <c r="H349"/>
  <c r="E349"/>
  <c r="D349"/>
  <c r="K348"/>
  <c r="J348"/>
  <c r="I348"/>
  <c r="H348"/>
  <c r="E348"/>
  <c r="D348"/>
  <c r="K347"/>
  <c r="J347"/>
  <c r="I347"/>
  <c r="H347"/>
  <c r="E347"/>
  <c r="D347"/>
  <c r="K346"/>
  <c r="J346"/>
  <c r="I346"/>
  <c r="H346"/>
  <c r="E346"/>
  <c r="D346"/>
  <c r="K345"/>
  <c r="J345"/>
  <c r="I345"/>
  <c r="H345"/>
  <c r="E345"/>
  <c r="D345"/>
  <c r="K344"/>
  <c r="J344"/>
  <c r="I344"/>
  <c r="H344"/>
  <c r="E344"/>
  <c r="D344"/>
  <c r="K343"/>
  <c r="J343"/>
  <c r="I343"/>
  <c r="H343"/>
  <c r="E343"/>
  <c r="D343"/>
  <c r="K342"/>
  <c r="J342"/>
  <c r="I342"/>
  <c r="H342"/>
  <c r="E342"/>
  <c r="D342"/>
  <c r="K341"/>
  <c r="K115" i="33" s="1"/>
  <c r="J341" i="23"/>
  <c r="I341"/>
  <c r="I115" i="33" s="1"/>
  <c r="H341" i="23"/>
  <c r="E341"/>
  <c r="E115" i="33" s="1"/>
  <c r="D341" i="23"/>
  <c r="D115" i="33" s="1"/>
  <c r="K340" i="23"/>
  <c r="J340"/>
  <c r="I340"/>
  <c r="H340"/>
  <c r="E340"/>
  <c r="D340"/>
  <c r="K339"/>
  <c r="J339"/>
  <c r="I339"/>
  <c r="H339"/>
  <c r="E339"/>
  <c r="D339"/>
  <c r="K338"/>
  <c r="J338"/>
  <c r="I338"/>
  <c r="H338"/>
  <c r="E338"/>
  <c r="D338"/>
  <c r="K337"/>
  <c r="J337"/>
  <c r="I337"/>
  <c r="H337"/>
  <c r="E337"/>
  <c r="D337"/>
  <c r="K336"/>
  <c r="J336"/>
  <c r="I336"/>
  <c r="H336"/>
  <c r="E336"/>
  <c r="D336"/>
  <c r="K335"/>
  <c r="J335"/>
  <c r="I335"/>
  <c r="H335"/>
  <c r="E335"/>
  <c r="D335"/>
  <c r="K334"/>
  <c r="J334"/>
  <c r="I334"/>
  <c r="H334"/>
  <c r="E334"/>
  <c r="D334"/>
  <c r="K333"/>
  <c r="J333"/>
  <c r="I333"/>
  <c r="H333"/>
  <c r="E333"/>
  <c r="D333"/>
  <c r="K332"/>
  <c r="J332"/>
  <c r="I332"/>
  <c r="H332"/>
  <c r="E332"/>
  <c r="D332"/>
  <c r="K331"/>
  <c r="J331"/>
  <c r="I331"/>
  <c r="H331"/>
  <c r="E331"/>
  <c r="D331"/>
  <c r="K330"/>
  <c r="J330"/>
  <c r="I330"/>
  <c r="H330"/>
  <c r="E330"/>
  <c r="D330"/>
  <c r="K329"/>
  <c r="J329"/>
  <c r="I329"/>
  <c r="H329"/>
  <c r="E329"/>
  <c r="D329"/>
  <c r="K328"/>
  <c r="J328"/>
  <c r="I328"/>
  <c r="H328"/>
  <c r="E328"/>
  <c r="D328"/>
  <c r="K327"/>
  <c r="J327"/>
  <c r="I327"/>
  <c r="H327"/>
  <c r="E327"/>
  <c r="D327"/>
  <c r="K326"/>
  <c r="J326"/>
  <c r="I326"/>
  <c r="H326"/>
  <c r="E326"/>
  <c r="D326"/>
  <c r="K325"/>
  <c r="J325"/>
  <c r="I325"/>
  <c r="H325"/>
  <c r="E325"/>
  <c r="D325"/>
  <c r="K324"/>
  <c r="J324"/>
  <c r="I324"/>
  <c r="H324"/>
  <c r="E324"/>
  <c r="D324"/>
  <c r="K323"/>
  <c r="J323"/>
  <c r="I323"/>
  <c r="H323"/>
  <c r="E323"/>
  <c r="D323"/>
  <c r="K322"/>
  <c r="J322"/>
  <c r="I322"/>
  <c r="H322"/>
  <c r="E322"/>
  <c r="D322"/>
  <c r="K321"/>
  <c r="J321"/>
  <c r="I321"/>
  <c r="H321"/>
  <c r="E321"/>
  <c r="D321"/>
  <c r="K320"/>
  <c r="J320"/>
  <c r="I320"/>
  <c r="H320"/>
  <c r="E320"/>
  <c r="D320"/>
  <c r="K319"/>
  <c r="J319"/>
  <c r="I319"/>
  <c r="H319"/>
  <c r="E319"/>
  <c r="D319"/>
  <c r="K318"/>
  <c r="J318"/>
  <c r="I318"/>
  <c r="H318"/>
  <c r="E318"/>
  <c r="D318"/>
  <c r="K317"/>
  <c r="J317"/>
  <c r="I317"/>
  <c r="H317"/>
  <c r="E317"/>
  <c r="D317"/>
  <c r="K316"/>
  <c r="J316"/>
  <c r="I316"/>
  <c r="H316"/>
  <c r="E316"/>
  <c r="D316"/>
  <c r="K315"/>
  <c r="J315"/>
  <c r="I315"/>
  <c r="H315"/>
  <c r="E315"/>
  <c r="D315"/>
  <c r="K314"/>
  <c r="J314"/>
  <c r="I314"/>
  <c r="H314"/>
  <c r="E314"/>
  <c r="D314"/>
  <c r="K313"/>
  <c r="J313"/>
  <c r="I313"/>
  <c r="H313"/>
  <c r="E313"/>
  <c r="D313"/>
  <c r="K312"/>
  <c r="J312"/>
  <c r="I312"/>
  <c r="H312"/>
  <c r="E312"/>
  <c r="D312"/>
  <c r="K311"/>
  <c r="K114" i="33" s="1"/>
  <c r="J311" i="23"/>
  <c r="I311"/>
  <c r="I114" i="33" s="1"/>
  <c r="H311" i="23"/>
  <c r="E311"/>
  <c r="E114" i="33" s="1"/>
  <c r="D311" i="23"/>
  <c r="D114" i="33" s="1"/>
  <c r="K310" i="23"/>
  <c r="J310"/>
  <c r="I310"/>
  <c r="H310"/>
  <c r="E310"/>
  <c r="D310"/>
  <c r="K309"/>
  <c r="J309"/>
  <c r="I309"/>
  <c r="H309"/>
  <c r="E309"/>
  <c r="D309"/>
  <c r="K308"/>
  <c r="J308"/>
  <c r="I308"/>
  <c r="H308"/>
  <c r="E308"/>
  <c r="D308"/>
  <c r="K307"/>
  <c r="J307"/>
  <c r="I307"/>
  <c r="H307"/>
  <c r="E307"/>
  <c r="D307"/>
  <c r="K306"/>
  <c r="J306"/>
  <c r="I306"/>
  <c r="H306"/>
  <c r="E306"/>
  <c r="D306"/>
  <c r="K305"/>
  <c r="J305"/>
  <c r="I305"/>
  <c r="H305"/>
  <c r="E305"/>
  <c r="D305"/>
  <c r="K304"/>
  <c r="J304"/>
  <c r="I304"/>
  <c r="H304"/>
  <c r="E304"/>
  <c r="D304"/>
  <c r="K303"/>
  <c r="J303"/>
  <c r="I303"/>
  <c r="H303"/>
  <c r="E303"/>
  <c r="D303"/>
  <c r="K302"/>
  <c r="J302"/>
  <c r="I302"/>
  <c r="H302"/>
  <c r="E302"/>
  <c r="D302"/>
  <c r="K301"/>
  <c r="J301"/>
  <c r="I301"/>
  <c r="H301"/>
  <c r="E301"/>
  <c r="D301"/>
  <c r="K300"/>
  <c r="J300"/>
  <c r="I300"/>
  <c r="H300"/>
  <c r="E300"/>
  <c r="D300"/>
  <c r="K299"/>
  <c r="J299"/>
  <c r="I299"/>
  <c r="H299"/>
  <c r="E299"/>
  <c r="D299"/>
  <c r="K298"/>
  <c r="J298"/>
  <c r="I298"/>
  <c r="H298"/>
  <c r="E298"/>
  <c r="D298"/>
  <c r="K297"/>
  <c r="J297"/>
  <c r="I297"/>
  <c r="H297"/>
  <c r="E297"/>
  <c r="D297"/>
  <c r="K296"/>
  <c r="J296"/>
  <c r="I296"/>
  <c r="H296"/>
  <c r="E296"/>
  <c r="D296"/>
  <c r="K295"/>
  <c r="J295"/>
  <c r="I295"/>
  <c r="H295"/>
  <c r="E295"/>
  <c r="D295"/>
  <c r="K294"/>
  <c r="J294"/>
  <c r="I294"/>
  <c r="H294"/>
  <c r="E294"/>
  <c r="D294"/>
  <c r="K293"/>
  <c r="J293"/>
  <c r="I293"/>
  <c r="H293"/>
  <c r="E293"/>
  <c r="D293"/>
  <c r="K292"/>
  <c r="J292"/>
  <c r="I292"/>
  <c r="H292"/>
  <c r="E292"/>
  <c r="D292"/>
  <c r="K291"/>
  <c r="J291"/>
  <c r="I291"/>
  <c r="H291"/>
  <c r="E291"/>
  <c r="D291"/>
  <c r="K290"/>
  <c r="J290"/>
  <c r="I290"/>
  <c r="H290"/>
  <c r="E290"/>
  <c r="D290"/>
  <c r="K289"/>
  <c r="J289"/>
  <c r="I289"/>
  <c r="H289"/>
  <c r="E289"/>
  <c r="D289"/>
  <c r="K288"/>
  <c r="J288"/>
  <c r="I288"/>
  <c r="H288"/>
  <c r="E288"/>
  <c r="D288"/>
  <c r="K287"/>
  <c r="J287"/>
  <c r="I287"/>
  <c r="H287"/>
  <c r="E287"/>
  <c r="D287"/>
  <c r="K286"/>
  <c r="J286"/>
  <c r="I286"/>
  <c r="H286"/>
  <c r="E286"/>
  <c r="D286"/>
  <c r="K285"/>
  <c r="J285"/>
  <c r="I285"/>
  <c r="H285"/>
  <c r="E285"/>
  <c r="D285"/>
  <c r="K284"/>
  <c r="J284"/>
  <c r="I284"/>
  <c r="H284"/>
  <c r="E284"/>
  <c r="D284"/>
  <c r="K283"/>
  <c r="J283"/>
  <c r="I283"/>
  <c r="H283"/>
  <c r="E283"/>
  <c r="D283"/>
  <c r="K282"/>
  <c r="J282"/>
  <c r="I282"/>
  <c r="H282"/>
  <c r="E282"/>
  <c r="D282"/>
  <c r="K281"/>
  <c r="J281"/>
  <c r="I281"/>
  <c r="H281"/>
  <c r="E281"/>
  <c r="D281"/>
  <c r="K280"/>
  <c r="K113" i="33" s="1"/>
  <c r="J280" i="23"/>
  <c r="I280"/>
  <c r="I113" i="33" s="1"/>
  <c r="H280" i="23"/>
  <c r="E280"/>
  <c r="E113" i="33" s="1"/>
  <c r="D280" i="23"/>
  <c r="D113" i="33" s="1"/>
  <c r="K279" i="23"/>
  <c r="J279"/>
  <c r="I279"/>
  <c r="H279"/>
  <c r="E279"/>
  <c r="D279"/>
  <c r="K278"/>
  <c r="J278"/>
  <c r="I278"/>
  <c r="H278"/>
  <c r="E278"/>
  <c r="D278"/>
  <c r="K277"/>
  <c r="J277"/>
  <c r="I277"/>
  <c r="H277"/>
  <c r="E277"/>
  <c r="D277"/>
  <c r="K276"/>
  <c r="J276"/>
  <c r="I276"/>
  <c r="H276"/>
  <c r="E276"/>
  <c r="D276"/>
  <c r="K275"/>
  <c r="J275"/>
  <c r="I275"/>
  <c r="H275"/>
  <c r="E275"/>
  <c r="D275"/>
  <c r="K274"/>
  <c r="J274"/>
  <c r="I274"/>
  <c r="H274"/>
  <c r="E274"/>
  <c r="D274"/>
  <c r="K273"/>
  <c r="J273"/>
  <c r="I273"/>
  <c r="H273"/>
  <c r="E273"/>
  <c r="D273"/>
  <c r="K272"/>
  <c r="J272"/>
  <c r="I272"/>
  <c r="H272"/>
  <c r="E272"/>
  <c r="D272"/>
  <c r="K271"/>
  <c r="J271"/>
  <c r="I271"/>
  <c r="H271"/>
  <c r="E271"/>
  <c r="D271"/>
  <c r="K270"/>
  <c r="J270"/>
  <c r="I270"/>
  <c r="H270"/>
  <c r="E270"/>
  <c r="D270"/>
  <c r="K269"/>
  <c r="J269"/>
  <c r="I269"/>
  <c r="H269"/>
  <c r="E269"/>
  <c r="D269"/>
  <c r="K268"/>
  <c r="J268"/>
  <c r="I268"/>
  <c r="H268"/>
  <c r="E268"/>
  <c r="D268"/>
  <c r="K267"/>
  <c r="J267"/>
  <c r="I267"/>
  <c r="H267"/>
  <c r="E267"/>
  <c r="D267"/>
  <c r="K266"/>
  <c r="J266"/>
  <c r="I266"/>
  <c r="H266"/>
  <c r="E266"/>
  <c r="D266"/>
  <c r="K265"/>
  <c r="J265"/>
  <c r="I265"/>
  <c r="H265"/>
  <c r="E265"/>
  <c r="D265"/>
  <c r="K264"/>
  <c r="J264"/>
  <c r="I264"/>
  <c r="H264"/>
  <c r="E264"/>
  <c r="D264"/>
  <c r="K263"/>
  <c r="J263"/>
  <c r="I263"/>
  <c r="H263"/>
  <c r="E263"/>
  <c r="D263"/>
  <c r="K262"/>
  <c r="J262"/>
  <c r="I262"/>
  <c r="H262"/>
  <c r="E262"/>
  <c r="D262"/>
  <c r="K261"/>
  <c r="J261"/>
  <c r="I261"/>
  <c r="H261"/>
  <c r="E261"/>
  <c r="D261"/>
  <c r="K260"/>
  <c r="J260"/>
  <c r="I260"/>
  <c r="H260"/>
  <c r="E260"/>
  <c r="D260"/>
  <c r="K259"/>
  <c r="J259"/>
  <c r="I259"/>
  <c r="H259"/>
  <c r="E259"/>
  <c r="D259"/>
  <c r="K258"/>
  <c r="J258"/>
  <c r="I258"/>
  <c r="H258"/>
  <c r="E258"/>
  <c r="D258"/>
  <c r="K257"/>
  <c r="J257"/>
  <c r="I257"/>
  <c r="H257"/>
  <c r="E257"/>
  <c r="D257"/>
  <c r="K256"/>
  <c r="J256"/>
  <c r="I256"/>
  <c r="H256"/>
  <c r="E256"/>
  <c r="D256"/>
  <c r="K255"/>
  <c r="J255"/>
  <c r="I255"/>
  <c r="H255"/>
  <c r="E255"/>
  <c r="D255"/>
  <c r="K254"/>
  <c r="J254"/>
  <c r="I254"/>
  <c r="H254"/>
  <c r="E254"/>
  <c r="D254"/>
  <c r="K253"/>
  <c r="J253"/>
  <c r="I253"/>
  <c r="H253"/>
  <c r="E253"/>
  <c r="D253"/>
  <c r="K252"/>
  <c r="J252"/>
  <c r="I252"/>
  <c r="H252"/>
  <c r="E252"/>
  <c r="D252"/>
  <c r="K251"/>
  <c r="J251"/>
  <c r="I251"/>
  <c r="H251"/>
  <c r="E251"/>
  <c r="D251"/>
  <c r="K250"/>
  <c r="K112" i="33" s="1"/>
  <c r="J250" i="23"/>
  <c r="I250"/>
  <c r="I112" i="33" s="1"/>
  <c r="H250" i="23"/>
  <c r="E250"/>
  <c r="E112" i="33" s="1"/>
  <c r="D250" i="23"/>
  <c r="D112" i="33" s="1"/>
  <c r="K249" i="23"/>
  <c r="J249"/>
  <c r="I249"/>
  <c r="H249"/>
  <c r="E249"/>
  <c r="D249"/>
  <c r="K248"/>
  <c r="J248"/>
  <c r="I248"/>
  <c r="H248"/>
  <c r="E248"/>
  <c r="D248"/>
  <c r="K247"/>
  <c r="J247"/>
  <c r="I247"/>
  <c r="H247"/>
  <c r="E247"/>
  <c r="D247"/>
  <c r="K246"/>
  <c r="J246"/>
  <c r="I246"/>
  <c r="H246"/>
  <c r="E246"/>
  <c r="D246"/>
  <c r="K245"/>
  <c r="J245"/>
  <c r="I245"/>
  <c r="H245"/>
  <c r="E245"/>
  <c r="D245"/>
  <c r="K244"/>
  <c r="J244"/>
  <c r="I244"/>
  <c r="H244"/>
  <c r="E244"/>
  <c r="D244"/>
  <c r="K243"/>
  <c r="J243"/>
  <c r="I243"/>
  <c r="H243"/>
  <c r="E243"/>
  <c r="D243"/>
  <c r="K242"/>
  <c r="J242"/>
  <c r="I242"/>
  <c r="H242"/>
  <c r="E242"/>
  <c r="D242"/>
  <c r="K241"/>
  <c r="J241"/>
  <c r="I241"/>
  <c r="H241"/>
  <c r="E241"/>
  <c r="D241"/>
  <c r="K240"/>
  <c r="J240"/>
  <c r="I240"/>
  <c r="H240"/>
  <c r="E240"/>
  <c r="D240"/>
  <c r="K239"/>
  <c r="J239"/>
  <c r="I239"/>
  <c r="H239"/>
  <c r="E239"/>
  <c r="D239"/>
  <c r="K238"/>
  <c r="J238"/>
  <c r="I238"/>
  <c r="H238"/>
  <c r="E238"/>
  <c r="D238"/>
  <c r="K237"/>
  <c r="J237"/>
  <c r="I237"/>
  <c r="H237"/>
  <c r="E237"/>
  <c r="D237"/>
  <c r="K236"/>
  <c r="J236"/>
  <c r="I236"/>
  <c r="H236"/>
  <c r="E236"/>
  <c r="D236"/>
  <c r="K235"/>
  <c r="J235"/>
  <c r="I235"/>
  <c r="H235"/>
  <c r="E235"/>
  <c r="D235"/>
  <c r="K234"/>
  <c r="J234"/>
  <c r="I234"/>
  <c r="H234"/>
  <c r="E234"/>
  <c r="D234"/>
  <c r="K233"/>
  <c r="J233"/>
  <c r="I233"/>
  <c r="H233"/>
  <c r="E233"/>
  <c r="D233"/>
  <c r="K232"/>
  <c r="J232"/>
  <c r="I232"/>
  <c r="H232"/>
  <c r="E232"/>
  <c r="D232"/>
  <c r="K231"/>
  <c r="J231"/>
  <c r="I231"/>
  <c r="H231"/>
  <c r="E231"/>
  <c r="D231"/>
  <c r="K230"/>
  <c r="J230"/>
  <c r="I230"/>
  <c r="H230"/>
  <c r="E230"/>
  <c r="D230"/>
  <c r="K229"/>
  <c r="J229"/>
  <c r="I229"/>
  <c r="H229"/>
  <c r="E229"/>
  <c r="D229"/>
  <c r="K228"/>
  <c r="J228"/>
  <c r="I228"/>
  <c r="H228"/>
  <c r="E228"/>
  <c r="D228"/>
  <c r="K227"/>
  <c r="J227"/>
  <c r="I227"/>
  <c r="H227"/>
  <c r="E227"/>
  <c r="D227"/>
  <c r="K226"/>
  <c r="J226"/>
  <c r="I226"/>
  <c r="H226"/>
  <c r="E226"/>
  <c r="D226"/>
  <c r="K225"/>
  <c r="J225"/>
  <c r="I225"/>
  <c r="H225"/>
  <c r="E225"/>
  <c r="D225"/>
  <c r="K224"/>
  <c r="J224"/>
  <c r="I224"/>
  <c r="H224"/>
  <c r="E224"/>
  <c r="D224"/>
  <c r="K223"/>
  <c r="J223"/>
  <c r="I223"/>
  <c r="H223"/>
  <c r="E223"/>
  <c r="D223"/>
  <c r="K222"/>
  <c r="J222"/>
  <c r="I222"/>
  <c r="H222"/>
  <c r="E222"/>
  <c r="D222"/>
  <c r="K221"/>
  <c r="J221"/>
  <c r="I221"/>
  <c r="H221"/>
  <c r="E221"/>
  <c r="D221"/>
  <c r="K220"/>
  <c r="J220"/>
  <c r="I220"/>
  <c r="H220"/>
  <c r="E220"/>
  <c r="D220"/>
  <c r="K219"/>
  <c r="K111" i="33" s="1"/>
  <c r="J219" i="23"/>
  <c r="I219"/>
  <c r="I111" i="33" s="1"/>
  <c r="H219" i="23"/>
  <c r="E219"/>
  <c r="E111" i="33" s="1"/>
  <c r="D219" i="23"/>
  <c r="D111" i="33" s="1"/>
  <c r="K218" i="23"/>
  <c r="J218"/>
  <c r="I218"/>
  <c r="H218"/>
  <c r="E218"/>
  <c r="D218"/>
  <c r="K217"/>
  <c r="J217"/>
  <c r="I217"/>
  <c r="H217"/>
  <c r="E217"/>
  <c r="D217"/>
  <c r="K216"/>
  <c r="J216"/>
  <c r="I216"/>
  <c r="H216"/>
  <c r="E216"/>
  <c r="D216"/>
  <c r="K215"/>
  <c r="J215"/>
  <c r="I215"/>
  <c r="H215"/>
  <c r="E215"/>
  <c r="D215"/>
  <c r="K214"/>
  <c r="J214"/>
  <c r="I214"/>
  <c r="H214"/>
  <c r="E214"/>
  <c r="D214"/>
  <c r="K213"/>
  <c r="J213"/>
  <c r="I213"/>
  <c r="H213"/>
  <c r="E213"/>
  <c r="D213"/>
  <c r="K212"/>
  <c r="J212"/>
  <c r="I212"/>
  <c r="H212"/>
  <c r="E212"/>
  <c r="D212"/>
  <c r="K211"/>
  <c r="J211"/>
  <c r="I211"/>
  <c r="H211"/>
  <c r="E211"/>
  <c r="D211"/>
  <c r="K210"/>
  <c r="J210"/>
  <c r="I210"/>
  <c r="H210"/>
  <c r="E210"/>
  <c r="D210"/>
  <c r="K209"/>
  <c r="J209"/>
  <c r="I209"/>
  <c r="H209"/>
  <c r="E209"/>
  <c r="D209"/>
  <c r="K208"/>
  <c r="J208"/>
  <c r="I208"/>
  <c r="H208"/>
  <c r="E208"/>
  <c r="D208"/>
  <c r="K207"/>
  <c r="J207"/>
  <c r="I207"/>
  <c r="H207"/>
  <c r="E207"/>
  <c r="D207"/>
  <c r="K206"/>
  <c r="J206"/>
  <c r="I206"/>
  <c r="H206"/>
  <c r="E206"/>
  <c r="D206"/>
  <c r="K205"/>
  <c r="J205"/>
  <c r="I205"/>
  <c r="H205"/>
  <c r="E205"/>
  <c r="D205"/>
  <c r="K204"/>
  <c r="J204"/>
  <c r="I204"/>
  <c r="H204"/>
  <c r="E204"/>
  <c r="D204"/>
  <c r="K203"/>
  <c r="J203"/>
  <c r="I203"/>
  <c r="H203"/>
  <c r="E203"/>
  <c r="D203"/>
  <c r="K202"/>
  <c r="J202"/>
  <c r="I202"/>
  <c r="H202"/>
  <c r="E202"/>
  <c r="D202"/>
  <c r="K201"/>
  <c r="J201"/>
  <c r="I201"/>
  <c r="H201"/>
  <c r="E201"/>
  <c r="D201"/>
  <c r="K200"/>
  <c r="J200"/>
  <c r="I200"/>
  <c r="H200"/>
  <c r="E200"/>
  <c r="D200"/>
  <c r="K199"/>
  <c r="J199"/>
  <c r="I199"/>
  <c r="H199"/>
  <c r="E199"/>
  <c r="D199"/>
  <c r="K198"/>
  <c r="J198"/>
  <c r="I198"/>
  <c r="H198"/>
  <c r="E198"/>
  <c r="D198"/>
  <c r="K197"/>
  <c r="J197"/>
  <c r="I197"/>
  <c r="H197"/>
  <c r="E197"/>
  <c r="D197"/>
  <c r="K196"/>
  <c r="J196"/>
  <c r="I196"/>
  <c r="H196"/>
  <c r="E196"/>
  <c r="D196"/>
  <c r="K195"/>
  <c r="J195"/>
  <c r="I195"/>
  <c r="H195"/>
  <c r="E195"/>
  <c r="D195"/>
  <c r="K194"/>
  <c r="J194"/>
  <c r="I194"/>
  <c r="H194"/>
  <c r="E194"/>
  <c r="D194"/>
  <c r="K193"/>
  <c r="J193"/>
  <c r="I193"/>
  <c r="H193"/>
  <c r="E193"/>
  <c r="D193"/>
  <c r="K192"/>
  <c r="J192"/>
  <c r="I192"/>
  <c r="H192"/>
  <c r="E192"/>
  <c r="D192"/>
  <c r="K191"/>
  <c r="J191"/>
  <c r="I191"/>
  <c r="H191"/>
  <c r="E191"/>
  <c r="D191"/>
  <c r="K190"/>
  <c r="J190"/>
  <c r="I190"/>
  <c r="H190"/>
  <c r="E190"/>
  <c r="D190"/>
  <c r="K189"/>
  <c r="J189"/>
  <c r="I189"/>
  <c r="H189"/>
  <c r="E189"/>
  <c r="D189"/>
  <c r="K188"/>
  <c r="K110" i="33" s="1"/>
  <c r="J188" i="23"/>
  <c r="I188"/>
  <c r="I110" i="33" s="1"/>
  <c r="H188" i="23"/>
  <c r="E188"/>
  <c r="E110" i="33" s="1"/>
  <c r="D188" i="23"/>
  <c r="D110" i="33" s="1"/>
  <c r="K187" i="23"/>
  <c r="J187"/>
  <c r="I187"/>
  <c r="H187"/>
  <c r="E187"/>
  <c r="D187"/>
  <c r="K186"/>
  <c r="J186"/>
  <c r="I186"/>
  <c r="H186"/>
  <c r="E186"/>
  <c r="D186"/>
  <c r="K185"/>
  <c r="J185"/>
  <c r="I185"/>
  <c r="H185"/>
  <c r="E185"/>
  <c r="D185"/>
  <c r="K184"/>
  <c r="J184"/>
  <c r="I184"/>
  <c r="H184"/>
  <c r="E184"/>
  <c r="D184"/>
  <c r="K183"/>
  <c r="J183"/>
  <c r="I183"/>
  <c r="H183"/>
  <c r="E183"/>
  <c r="D183"/>
  <c r="K182"/>
  <c r="J182"/>
  <c r="I182"/>
  <c r="H182"/>
  <c r="E182"/>
  <c r="D182"/>
  <c r="K181"/>
  <c r="J181"/>
  <c r="I181"/>
  <c r="H181"/>
  <c r="E181"/>
  <c r="D181"/>
  <c r="K180"/>
  <c r="J180"/>
  <c r="I180"/>
  <c r="H180"/>
  <c r="E180"/>
  <c r="D180"/>
  <c r="K179"/>
  <c r="J179"/>
  <c r="I179"/>
  <c r="H179"/>
  <c r="E179"/>
  <c r="D179"/>
  <c r="K178"/>
  <c r="J178"/>
  <c r="I178"/>
  <c r="H178"/>
  <c r="E178"/>
  <c r="D178"/>
  <c r="K177"/>
  <c r="J177"/>
  <c r="I177"/>
  <c r="H177"/>
  <c r="E177"/>
  <c r="D177"/>
  <c r="K176"/>
  <c r="J176"/>
  <c r="I176"/>
  <c r="H176"/>
  <c r="E176"/>
  <c r="D176"/>
  <c r="K175"/>
  <c r="J175"/>
  <c r="I175"/>
  <c r="H175"/>
  <c r="E175"/>
  <c r="D175"/>
  <c r="K174"/>
  <c r="J174"/>
  <c r="I174"/>
  <c r="H174"/>
  <c r="E174"/>
  <c r="D174"/>
  <c r="K173"/>
  <c r="J173"/>
  <c r="I173"/>
  <c r="H173"/>
  <c r="E173"/>
  <c r="D173"/>
  <c r="K172"/>
  <c r="J172"/>
  <c r="I172"/>
  <c r="H172"/>
  <c r="E172"/>
  <c r="D172"/>
  <c r="K171"/>
  <c r="J171"/>
  <c r="I171"/>
  <c r="H171"/>
  <c r="E171"/>
  <c r="D171"/>
  <c r="K170"/>
  <c r="J170"/>
  <c r="I170"/>
  <c r="H170"/>
  <c r="E170"/>
  <c r="D170"/>
  <c r="K169"/>
  <c r="J169"/>
  <c r="I169"/>
  <c r="H169"/>
  <c r="E169"/>
  <c r="D169"/>
  <c r="K168"/>
  <c r="J168"/>
  <c r="I168"/>
  <c r="H168"/>
  <c r="E168"/>
  <c r="D168"/>
  <c r="K167"/>
  <c r="J167"/>
  <c r="I167"/>
  <c r="H167"/>
  <c r="E167"/>
  <c r="D167"/>
  <c r="K166"/>
  <c r="J166"/>
  <c r="I166"/>
  <c r="H166"/>
  <c r="E166"/>
  <c r="D166"/>
  <c r="K165"/>
  <c r="J165"/>
  <c r="I165"/>
  <c r="H165"/>
  <c r="E165"/>
  <c r="D165"/>
  <c r="K164"/>
  <c r="J164"/>
  <c r="I164"/>
  <c r="H164"/>
  <c r="E164"/>
  <c r="D164"/>
  <c r="K163"/>
  <c r="J163"/>
  <c r="I163"/>
  <c r="H163"/>
  <c r="E163"/>
  <c r="D163"/>
  <c r="K162"/>
  <c r="J162"/>
  <c r="I162"/>
  <c r="H162"/>
  <c r="E162"/>
  <c r="D162"/>
  <c r="K161"/>
  <c r="J161"/>
  <c r="I161"/>
  <c r="H161"/>
  <c r="E161"/>
  <c r="D161"/>
  <c r="K160"/>
  <c r="J160"/>
  <c r="I160"/>
  <c r="H160"/>
  <c r="E160"/>
  <c r="D160"/>
  <c r="K159"/>
  <c r="J159"/>
  <c r="I159"/>
  <c r="H159"/>
  <c r="E159"/>
  <c r="D159"/>
  <c r="K158"/>
  <c r="J158"/>
  <c r="I158"/>
  <c r="I109" i="33" s="1"/>
  <c r="H158" i="23"/>
  <c r="E158"/>
  <c r="E109" i="33" s="1"/>
  <c r="D158" i="23"/>
  <c r="D109" i="33" s="1"/>
  <c r="K157" i="23"/>
  <c r="J157"/>
  <c r="I157"/>
  <c r="H157"/>
  <c r="E157"/>
  <c r="D157"/>
  <c r="K156"/>
  <c r="J156"/>
  <c r="I156"/>
  <c r="H156"/>
  <c r="E156"/>
  <c r="D156"/>
  <c r="K155"/>
  <c r="J155"/>
  <c r="I155"/>
  <c r="H155"/>
  <c r="E155"/>
  <c r="D155"/>
  <c r="K154"/>
  <c r="J154"/>
  <c r="I154"/>
  <c r="H154"/>
  <c r="E154"/>
  <c r="D154"/>
  <c r="K153"/>
  <c r="J153"/>
  <c r="I153"/>
  <c r="H153"/>
  <c r="E153"/>
  <c r="D153"/>
  <c r="K152"/>
  <c r="J152"/>
  <c r="I152"/>
  <c r="H152"/>
  <c r="E152"/>
  <c r="D152"/>
  <c r="K151"/>
  <c r="J151"/>
  <c r="I151"/>
  <c r="H151"/>
  <c r="E151"/>
  <c r="D151"/>
  <c r="K150"/>
  <c r="J150"/>
  <c r="I150"/>
  <c r="H150"/>
  <c r="E150"/>
  <c r="D150"/>
  <c r="K149"/>
  <c r="J149"/>
  <c r="I149"/>
  <c r="H149"/>
  <c r="E149"/>
  <c r="D149"/>
  <c r="K148"/>
  <c r="J148"/>
  <c r="I148"/>
  <c r="H148"/>
  <c r="E148"/>
  <c r="D148"/>
  <c r="K147"/>
  <c r="J147"/>
  <c r="I147"/>
  <c r="H147"/>
  <c r="E147"/>
  <c r="D147"/>
  <c r="K146"/>
  <c r="J146"/>
  <c r="I146"/>
  <c r="H146"/>
  <c r="E146"/>
  <c r="D146"/>
  <c r="K145"/>
  <c r="J145"/>
  <c r="I145"/>
  <c r="H145"/>
  <c r="E145"/>
  <c r="D145"/>
  <c r="K144"/>
  <c r="J144"/>
  <c r="I144"/>
  <c r="H144"/>
  <c r="E144"/>
  <c r="D144"/>
  <c r="K143"/>
  <c r="J143"/>
  <c r="I143"/>
  <c r="H143"/>
  <c r="E143"/>
  <c r="D143"/>
  <c r="K142"/>
  <c r="J142"/>
  <c r="I142"/>
  <c r="H142"/>
  <c r="E142"/>
  <c r="D142"/>
  <c r="K141"/>
  <c r="J141"/>
  <c r="I141"/>
  <c r="H141"/>
  <c r="E141"/>
  <c r="D141"/>
  <c r="K140"/>
  <c r="J140"/>
  <c r="I140"/>
  <c r="H140"/>
  <c r="E140"/>
  <c r="D140"/>
  <c r="K139"/>
  <c r="J139"/>
  <c r="I139"/>
  <c r="H139"/>
  <c r="E139"/>
  <c r="D139"/>
  <c r="K138"/>
  <c r="J138"/>
  <c r="I138"/>
  <c r="H138"/>
  <c r="E138"/>
  <c r="D138"/>
  <c r="K137"/>
  <c r="J137"/>
  <c r="I137"/>
  <c r="H137"/>
  <c r="E137"/>
  <c r="D137"/>
  <c r="K136"/>
  <c r="J136"/>
  <c r="I136"/>
  <c r="H136"/>
  <c r="E136"/>
  <c r="D136"/>
  <c r="K135"/>
  <c r="J135"/>
  <c r="I135"/>
  <c r="H135"/>
  <c r="E135"/>
  <c r="D135"/>
  <c r="K134"/>
  <c r="J134"/>
  <c r="I134"/>
  <c r="H134"/>
  <c r="E134"/>
  <c r="D134"/>
  <c r="K133"/>
  <c r="J133"/>
  <c r="I133"/>
  <c r="H133"/>
  <c r="E133"/>
  <c r="D133"/>
  <c r="K132"/>
  <c r="J132"/>
  <c r="I132"/>
  <c r="H132"/>
  <c r="E132"/>
  <c r="D132"/>
  <c r="K131"/>
  <c r="J131"/>
  <c r="I131"/>
  <c r="H131"/>
  <c r="E131"/>
  <c r="D131"/>
  <c r="K130"/>
  <c r="J130"/>
  <c r="I130"/>
  <c r="H130"/>
  <c r="E130"/>
  <c r="D130"/>
  <c r="K129"/>
  <c r="J129"/>
  <c r="I129"/>
  <c r="H129"/>
  <c r="E129"/>
  <c r="D129"/>
  <c r="K128"/>
  <c r="J128"/>
  <c r="I128"/>
  <c r="H128"/>
  <c r="E128"/>
  <c r="D128"/>
  <c r="K127"/>
  <c r="K108" i="33" s="1"/>
  <c r="J127" i="23"/>
  <c r="I127"/>
  <c r="I108" i="33" s="1"/>
  <c r="H127" i="23"/>
  <c r="E127"/>
  <c r="E108" i="33" s="1"/>
  <c r="D127" i="23"/>
  <c r="K126"/>
  <c r="J126"/>
  <c r="I126"/>
  <c r="H126"/>
  <c r="E126"/>
  <c r="D126"/>
  <c r="K125"/>
  <c r="J125"/>
  <c r="I125"/>
  <c r="H125"/>
  <c r="E125"/>
  <c r="D125"/>
  <c r="K124"/>
  <c r="J124"/>
  <c r="I124"/>
  <c r="H124"/>
  <c r="E124"/>
  <c r="D124"/>
  <c r="K123"/>
  <c r="J123"/>
  <c r="I123"/>
  <c r="H123"/>
  <c r="E123"/>
  <c r="D123"/>
  <c r="K122"/>
  <c r="J122"/>
  <c r="I122"/>
  <c r="H122"/>
  <c r="E122"/>
  <c r="D122"/>
  <c r="K121"/>
  <c r="J121"/>
  <c r="I121"/>
  <c r="H121"/>
  <c r="E121"/>
  <c r="D121"/>
  <c r="K120"/>
  <c r="J120"/>
  <c r="I120"/>
  <c r="H120"/>
  <c r="E120"/>
  <c r="D120"/>
  <c r="K119"/>
  <c r="J119"/>
  <c r="I119"/>
  <c r="H119"/>
  <c r="E119"/>
  <c r="D119"/>
  <c r="K118"/>
  <c r="J118"/>
  <c r="I118"/>
  <c r="H118"/>
  <c r="E118"/>
  <c r="D118"/>
  <c r="K117"/>
  <c r="J117"/>
  <c r="I117"/>
  <c r="H117"/>
  <c r="E117"/>
  <c r="D117"/>
  <c r="K116"/>
  <c r="J116"/>
  <c r="I116"/>
  <c r="H116"/>
  <c r="E116"/>
  <c r="D116"/>
  <c r="K115"/>
  <c r="J115"/>
  <c r="I115"/>
  <c r="H115"/>
  <c r="E115"/>
  <c r="D115"/>
  <c r="K114"/>
  <c r="J114"/>
  <c r="I114"/>
  <c r="H114"/>
  <c r="E114"/>
  <c r="D114"/>
  <c r="K113"/>
  <c r="J113"/>
  <c r="I113"/>
  <c r="H113"/>
  <c r="E113"/>
  <c r="D113"/>
  <c r="K112"/>
  <c r="J112"/>
  <c r="I112"/>
  <c r="H112"/>
  <c r="E112"/>
  <c r="D112"/>
  <c r="K111"/>
  <c r="J111"/>
  <c r="I111"/>
  <c r="H111"/>
  <c r="E111"/>
  <c r="D111"/>
  <c r="K110"/>
  <c r="J110"/>
  <c r="I110"/>
  <c r="H110"/>
  <c r="E110"/>
  <c r="D110"/>
  <c r="K109"/>
  <c r="J109"/>
  <c r="I109"/>
  <c r="H109"/>
  <c r="E109"/>
  <c r="D109"/>
  <c r="K108"/>
  <c r="J108"/>
  <c r="I108"/>
  <c r="H108"/>
  <c r="E108"/>
  <c r="D108"/>
  <c r="K107"/>
  <c r="J107"/>
  <c r="I107"/>
  <c r="H107"/>
  <c r="E107"/>
  <c r="D107"/>
  <c r="K106"/>
  <c r="J106"/>
  <c r="I106"/>
  <c r="H106"/>
  <c r="E106"/>
  <c r="D106"/>
  <c r="K105"/>
  <c r="J105"/>
  <c r="I105"/>
  <c r="H105"/>
  <c r="E105"/>
  <c r="D105"/>
  <c r="K104"/>
  <c r="J104"/>
  <c r="I104"/>
  <c r="H104"/>
  <c r="E104"/>
  <c r="D104"/>
  <c r="K103"/>
  <c r="J103"/>
  <c r="I103"/>
  <c r="H103"/>
  <c r="E103"/>
  <c r="D103"/>
  <c r="K102"/>
  <c r="J102"/>
  <c r="I102"/>
  <c r="H102"/>
  <c r="E102"/>
  <c r="D102"/>
  <c r="K101"/>
  <c r="J101"/>
  <c r="I101"/>
  <c r="H101"/>
  <c r="E101"/>
  <c r="D101"/>
  <c r="K100"/>
  <c r="J100"/>
  <c r="I100"/>
  <c r="H100"/>
  <c r="E100"/>
  <c r="D100"/>
  <c r="K99"/>
  <c r="J99"/>
  <c r="I99"/>
  <c r="H99"/>
  <c r="E99"/>
  <c r="D99"/>
  <c r="K98"/>
  <c r="J98"/>
  <c r="I98"/>
  <c r="H98"/>
  <c r="E98"/>
  <c r="D98"/>
  <c r="K97"/>
  <c r="J97"/>
  <c r="I97"/>
  <c r="I107" i="33" s="1"/>
  <c r="H97" i="23"/>
  <c r="E97"/>
  <c r="D97"/>
  <c r="K96"/>
  <c r="J96"/>
  <c r="I96"/>
  <c r="H96"/>
  <c r="E96"/>
  <c r="D96"/>
  <c r="K95"/>
  <c r="J95"/>
  <c r="I95"/>
  <c r="H95"/>
  <c r="E95"/>
  <c r="D95"/>
  <c r="K94"/>
  <c r="J94"/>
  <c r="I94"/>
  <c r="H94"/>
  <c r="E94"/>
  <c r="D94"/>
  <c r="K93"/>
  <c r="J93"/>
  <c r="I93"/>
  <c r="H93"/>
  <c r="E93"/>
  <c r="D93"/>
  <c r="K92"/>
  <c r="J92"/>
  <c r="I92"/>
  <c r="H92"/>
  <c r="E92"/>
  <c r="D92"/>
  <c r="K91"/>
  <c r="J91"/>
  <c r="I91"/>
  <c r="H91"/>
  <c r="E91"/>
  <c r="D91"/>
  <c r="K90"/>
  <c r="J90"/>
  <c r="I90"/>
  <c r="H90"/>
  <c r="E90"/>
  <c r="D90"/>
  <c r="K89"/>
  <c r="J89"/>
  <c r="I89"/>
  <c r="H89"/>
  <c r="E89"/>
  <c r="D89"/>
  <c r="K88"/>
  <c r="J88"/>
  <c r="I88"/>
  <c r="H88"/>
  <c r="E88"/>
  <c r="D88"/>
  <c r="K87"/>
  <c r="J87"/>
  <c r="I87"/>
  <c r="H87"/>
  <c r="E87"/>
  <c r="D87"/>
  <c r="K86"/>
  <c r="J86"/>
  <c r="I86"/>
  <c r="H86"/>
  <c r="E86"/>
  <c r="D86"/>
  <c r="K85"/>
  <c r="J85"/>
  <c r="I85"/>
  <c r="H85"/>
  <c r="E85"/>
  <c r="D85"/>
  <c r="K84"/>
  <c r="J84"/>
  <c r="I84"/>
  <c r="H84"/>
  <c r="E84"/>
  <c r="D84"/>
  <c r="K83"/>
  <c r="J83"/>
  <c r="I83"/>
  <c r="H83"/>
  <c r="E83"/>
  <c r="D83"/>
  <c r="K82"/>
  <c r="J82"/>
  <c r="I82"/>
  <c r="H82"/>
  <c r="E82"/>
  <c r="D82"/>
  <c r="K81"/>
  <c r="J81"/>
  <c r="I81"/>
  <c r="H81"/>
  <c r="E81"/>
  <c r="D81"/>
  <c r="K80"/>
  <c r="J80"/>
  <c r="I80"/>
  <c r="H80"/>
  <c r="E80"/>
  <c r="D80"/>
  <c r="K79"/>
  <c r="J79"/>
  <c r="I79"/>
  <c r="H79"/>
  <c r="E79"/>
  <c r="D79"/>
  <c r="K78"/>
  <c r="J78"/>
  <c r="I78"/>
  <c r="H78"/>
  <c r="E78"/>
  <c r="D78"/>
  <c r="K77"/>
  <c r="J77"/>
  <c r="I77"/>
  <c r="H77"/>
  <c r="E77"/>
  <c r="D77"/>
  <c r="K76"/>
  <c r="J76"/>
  <c r="I76"/>
  <c r="H76"/>
  <c r="E76"/>
  <c r="D76"/>
  <c r="K75"/>
  <c r="J75"/>
  <c r="I75"/>
  <c r="H75"/>
  <c r="E75"/>
  <c r="D75"/>
  <c r="K74"/>
  <c r="J74"/>
  <c r="I74"/>
  <c r="H74"/>
  <c r="E74"/>
  <c r="D74"/>
  <c r="K73"/>
  <c r="J73"/>
  <c r="I73"/>
  <c r="H73"/>
  <c r="E73"/>
  <c r="D73"/>
  <c r="K72"/>
  <c r="J72"/>
  <c r="I72"/>
  <c r="H72"/>
  <c r="E72"/>
  <c r="D72"/>
  <c r="K71"/>
  <c r="J71"/>
  <c r="I71"/>
  <c r="H71"/>
  <c r="E71"/>
  <c r="D71"/>
  <c r="K70"/>
  <c r="J70"/>
  <c r="I70"/>
  <c r="H70"/>
  <c r="E70"/>
  <c r="D70"/>
  <c r="K69"/>
  <c r="J69"/>
  <c r="I69"/>
  <c r="H69"/>
  <c r="E69"/>
  <c r="D69"/>
  <c r="K68"/>
  <c r="J68"/>
  <c r="I68"/>
  <c r="H68"/>
  <c r="E68"/>
  <c r="D68"/>
  <c r="K67"/>
  <c r="J67"/>
  <c r="I67"/>
  <c r="H67"/>
  <c r="E67"/>
  <c r="D67"/>
  <c r="K66"/>
  <c r="K106" i="33" s="1"/>
  <c r="J66" i="23"/>
  <c r="I66"/>
  <c r="H66"/>
  <c r="E66"/>
  <c r="D66"/>
  <c r="K65"/>
  <c r="J65"/>
  <c r="I65"/>
  <c r="H65"/>
  <c r="E65"/>
  <c r="D65"/>
  <c r="K64"/>
  <c r="J64"/>
  <c r="I64"/>
  <c r="H64"/>
  <c r="E64"/>
  <c r="D64"/>
  <c r="K63"/>
  <c r="J63"/>
  <c r="I63"/>
  <c r="H63"/>
  <c r="E63"/>
  <c r="D63"/>
  <c r="K62"/>
  <c r="J62"/>
  <c r="I62"/>
  <c r="H62"/>
  <c r="E62"/>
  <c r="D62"/>
  <c r="K61"/>
  <c r="J61"/>
  <c r="I61"/>
  <c r="H61"/>
  <c r="E61"/>
  <c r="D61"/>
  <c r="K60"/>
  <c r="J60"/>
  <c r="I60"/>
  <c r="H60"/>
  <c r="E60"/>
  <c r="D60"/>
  <c r="K59"/>
  <c r="J59"/>
  <c r="I59"/>
  <c r="H59"/>
  <c r="E59"/>
  <c r="D59"/>
  <c r="K58"/>
  <c r="J58"/>
  <c r="I58"/>
  <c r="H58"/>
  <c r="E58"/>
  <c r="D58"/>
  <c r="K57"/>
  <c r="J57"/>
  <c r="I57"/>
  <c r="H57"/>
  <c r="E57"/>
  <c r="D57"/>
  <c r="K56"/>
  <c r="J56"/>
  <c r="I56"/>
  <c r="H56"/>
  <c r="E56"/>
  <c r="D56"/>
  <c r="K55"/>
  <c r="J55"/>
  <c r="I55"/>
  <c r="H55"/>
  <c r="E55"/>
  <c r="D55"/>
  <c r="K54"/>
  <c r="J54"/>
  <c r="I54"/>
  <c r="H54"/>
  <c r="E54"/>
  <c r="D54"/>
  <c r="K53"/>
  <c r="J53"/>
  <c r="I53"/>
  <c r="H53"/>
  <c r="E53"/>
  <c r="D53"/>
  <c r="K52"/>
  <c r="J52"/>
  <c r="I52"/>
  <c r="H52"/>
  <c r="E52"/>
  <c r="D52"/>
  <c r="K51"/>
  <c r="J51"/>
  <c r="I51"/>
  <c r="H51"/>
  <c r="E51"/>
  <c r="D51"/>
  <c r="K50"/>
  <c r="J50"/>
  <c r="I50"/>
  <c r="H50"/>
  <c r="E50"/>
  <c r="D50"/>
  <c r="K49"/>
  <c r="J49"/>
  <c r="I49"/>
  <c r="H49"/>
  <c r="E49"/>
  <c r="D49"/>
  <c r="K48"/>
  <c r="J48"/>
  <c r="I48"/>
  <c r="H48"/>
  <c r="E48"/>
  <c r="D48"/>
  <c r="K47"/>
  <c r="J47"/>
  <c r="I47"/>
  <c r="H47"/>
  <c r="E47"/>
  <c r="D47"/>
  <c r="K46"/>
  <c r="J46"/>
  <c r="I46"/>
  <c r="H46"/>
  <c r="E46"/>
  <c r="D46"/>
  <c r="K45"/>
  <c r="J45"/>
  <c r="I45"/>
  <c r="H45"/>
  <c r="E45"/>
  <c r="D45"/>
  <c r="K44"/>
  <c r="J44"/>
  <c r="I44"/>
  <c r="H44"/>
  <c r="E44"/>
  <c r="D44"/>
  <c r="K43"/>
  <c r="J43"/>
  <c r="I43"/>
  <c r="H43"/>
  <c r="E43"/>
  <c r="D43"/>
  <c r="K42"/>
  <c r="J42"/>
  <c r="I42"/>
  <c r="H42"/>
  <c r="E42"/>
  <c r="D42"/>
  <c r="K41"/>
  <c r="J41"/>
  <c r="I41"/>
  <c r="H41"/>
  <c r="E41"/>
  <c r="D41"/>
  <c r="K40"/>
  <c r="J40"/>
  <c r="I40"/>
  <c r="H40"/>
  <c r="E40"/>
  <c r="D40"/>
  <c r="K39"/>
  <c r="J39"/>
  <c r="I39"/>
  <c r="H39"/>
  <c r="E39"/>
  <c r="D39"/>
  <c r="K38"/>
  <c r="J38"/>
  <c r="I38"/>
  <c r="H38"/>
  <c r="E38"/>
  <c r="D38"/>
  <c r="K37"/>
  <c r="K105" i="33" s="1"/>
  <c r="J37" i="23"/>
  <c r="I37"/>
  <c r="H37"/>
  <c r="E37"/>
  <c r="D37"/>
  <c r="D105" i="33" s="1"/>
  <c r="K36" i="23"/>
  <c r="J36"/>
  <c r="I36"/>
  <c r="H36"/>
  <c r="E36"/>
  <c r="D36"/>
  <c r="K35"/>
  <c r="J35"/>
  <c r="I35"/>
  <c r="H35"/>
  <c r="E35"/>
  <c r="D35"/>
  <c r="K34"/>
  <c r="J34"/>
  <c r="I34"/>
  <c r="H34"/>
  <c r="E34"/>
  <c r="D34"/>
  <c r="K33"/>
  <c r="J33"/>
  <c r="I33"/>
  <c r="H33"/>
  <c r="E33"/>
  <c r="D33"/>
  <c r="K32"/>
  <c r="J32"/>
  <c r="I32"/>
  <c r="H32"/>
  <c r="E32"/>
  <c r="D32"/>
  <c r="K31"/>
  <c r="J31"/>
  <c r="I31"/>
  <c r="H31"/>
  <c r="E31"/>
  <c r="D31"/>
  <c r="K30"/>
  <c r="J30"/>
  <c r="I30"/>
  <c r="H30"/>
  <c r="E30"/>
  <c r="D30"/>
  <c r="K29"/>
  <c r="J29"/>
  <c r="I29"/>
  <c r="H29"/>
  <c r="E29"/>
  <c r="D29"/>
  <c r="K28"/>
  <c r="J28"/>
  <c r="I28"/>
  <c r="H28"/>
  <c r="E28"/>
  <c r="D28"/>
  <c r="K27"/>
  <c r="J27"/>
  <c r="I27"/>
  <c r="H27"/>
  <c r="E27"/>
  <c r="D27"/>
  <c r="K26"/>
  <c r="J26"/>
  <c r="I26"/>
  <c r="H26"/>
  <c r="E26"/>
  <c r="D26"/>
  <c r="K25"/>
  <c r="J25"/>
  <c r="I25"/>
  <c r="H25"/>
  <c r="E25"/>
  <c r="D25"/>
  <c r="K24"/>
  <c r="J24"/>
  <c r="I24"/>
  <c r="H24"/>
  <c r="E24"/>
  <c r="D24"/>
  <c r="K23"/>
  <c r="J23"/>
  <c r="I23"/>
  <c r="H23"/>
  <c r="E23"/>
  <c r="D23"/>
  <c r="K22"/>
  <c r="J22"/>
  <c r="I22"/>
  <c r="H22"/>
  <c r="E22"/>
  <c r="D22"/>
  <c r="K21"/>
  <c r="J21"/>
  <c r="I21"/>
  <c r="H21"/>
  <c r="E21"/>
  <c r="D21"/>
  <c r="K20"/>
  <c r="J20"/>
  <c r="I20"/>
  <c r="H20"/>
  <c r="E20"/>
  <c r="D20"/>
  <c r="K19"/>
  <c r="J19"/>
  <c r="I19"/>
  <c r="H19"/>
  <c r="E19"/>
  <c r="D19"/>
  <c r="K18"/>
  <c r="J18"/>
  <c r="I18"/>
  <c r="H18"/>
  <c r="E18"/>
  <c r="D18"/>
  <c r="K17"/>
  <c r="J17"/>
  <c r="I17"/>
  <c r="H17"/>
  <c r="E17"/>
  <c r="D17"/>
  <c r="K16"/>
  <c r="J16"/>
  <c r="I16"/>
  <c r="H16"/>
  <c r="E16"/>
  <c r="D16"/>
  <c r="K15"/>
  <c r="J15"/>
  <c r="I15"/>
  <c r="H15"/>
  <c r="E15"/>
  <c r="D15"/>
  <c r="K14"/>
  <c r="J14"/>
  <c r="I14"/>
  <c r="H14"/>
  <c r="E14"/>
  <c r="D14"/>
  <c r="K13"/>
  <c r="J13"/>
  <c r="I13"/>
  <c r="H13"/>
  <c r="E13"/>
  <c r="D13"/>
  <c r="D10" i="33"/>
  <c r="E10" s="1"/>
  <c r="F10" s="1"/>
  <c r="G10" s="1"/>
  <c r="H10" s="1"/>
  <c r="I10" s="1"/>
  <c r="J10" s="1"/>
  <c r="K10" s="1"/>
  <c r="L10" s="1"/>
  <c r="M10" s="1"/>
  <c r="N10" s="1"/>
  <c r="O10" s="1"/>
  <c r="P10" s="1"/>
  <c r="D107" l="1"/>
  <c r="D106"/>
  <c r="D108"/>
  <c r="K107"/>
  <c r="E107"/>
  <c r="E105"/>
  <c r="K109"/>
  <c r="E106"/>
  <c r="I105"/>
  <c r="I106"/>
  <c r="J105"/>
  <c r="H105"/>
  <c r="J106"/>
  <c r="H106"/>
  <c r="J107"/>
  <c r="H107"/>
  <c r="J108"/>
  <c r="H108"/>
  <c r="J109"/>
  <c r="H109"/>
  <c r="J110"/>
  <c r="H110"/>
  <c r="J111"/>
  <c r="H111"/>
  <c r="J112"/>
  <c r="H112"/>
  <c r="J113"/>
  <c r="H113"/>
  <c r="J114"/>
  <c r="H114"/>
  <c r="J115"/>
  <c r="H115"/>
  <c r="O68"/>
  <c r="F62"/>
  <c r="L62"/>
  <c r="N62"/>
  <c r="P62"/>
  <c r="G63"/>
  <c r="M63"/>
  <c r="O63"/>
  <c r="F64"/>
  <c r="L64"/>
  <c r="N64"/>
  <c r="P64"/>
  <c r="G65"/>
  <c r="M65"/>
  <c r="O65"/>
  <c r="F66"/>
  <c r="L66"/>
  <c r="N66"/>
  <c r="P66"/>
  <c r="G67"/>
  <c r="M67"/>
  <c r="O67"/>
  <c r="F68"/>
  <c r="L68"/>
  <c r="N68"/>
  <c r="P68"/>
  <c r="G62"/>
  <c r="M62"/>
  <c r="O62"/>
  <c r="F63"/>
  <c r="L63"/>
  <c r="N63"/>
  <c r="P63"/>
  <c r="G64"/>
  <c r="M64"/>
  <c r="O64"/>
  <c r="F65"/>
  <c r="L65"/>
  <c r="N65"/>
  <c r="P65"/>
  <c r="G66"/>
  <c r="M66"/>
  <c r="O66"/>
  <c r="F67"/>
  <c r="L67"/>
  <c r="N67"/>
  <c r="P67"/>
  <c r="G68"/>
  <c r="M68"/>
  <c r="C84"/>
  <c r="B86"/>
  <c r="F12"/>
  <c r="L12"/>
  <c r="N12"/>
  <c r="P12"/>
  <c r="G13"/>
  <c r="M13"/>
  <c r="O13"/>
  <c r="F14"/>
  <c r="L14"/>
  <c r="N14"/>
  <c r="P14"/>
  <c r="G15"/>
  <c r="M15"/>
  <c r="O15"/>
  <c r="F16"/>
  <c r="L16"/>
  <c r="N16"/>
  <c r="P16"/>
  <c r="G17"/>
  <c r="M17"/>
  <c r="O17"/>
  <c r="F18"/>
  <c r="L18"/>
  <c r="N18"/>
  <c r="P18"/>
  <c r="G19"/>
  <c r="M19"/>
  <c r="O19"/>
  <c r="F20"/>
  <c r="L20"/>
  <c r="N20"/>
  <c r="P20"/>
  <c r="G21"/>
  <c r="M21"/>
  <c r="O21"/>
  <c r="F22"/>
  <c r="L22"/>
  <c r="N22"/>
  <c r="P22"/>
  <c r="G23"/>
  <c r="M23"/>
  <c r="O23"/>
  <c r="F24"/>
  <c r="L24"/>
  <c r="N24"/>
  <c r="P24"/>
  <c r="G25"/>
  <c r="M25"/>
  <c r="O25"/>
  <c r="F26"/>
  <c r="L26"/>
  <c r="N26"/>
  <c r="P26"/>
  <c r="G27"/>
  <c r="M27"/>
  <c r="O27"/>
  <c r="F28"/>
  <c r="L28"/>
  <c r="N28"/>
  <c r="P28"/>
  <c r="G29"/>
  <c r="M29"/>
  <c r="O29"/>
  <c r="F30"/>
  <c r="L30"/>
  <c r="N30"/>
  <c r="P30"/>
  <c r="G31"/>
  <c r="M31"/>
  <c r="O31"/>
  <c r="F32"/>
  <c r="L32"/>
  <c r="N32"/>
  <c r="P32"/>
  <c r="G33"/>
  <c r="M33"/>
  <c r="O33"/>
  <c r="F34"/>
  <c r="L34"/>
  <c r="N34"/>
  <c r="P34"/>
  <c r="G35"/>
  <c r="M35"/>
  <c r="O35"/>
  <c r="F36"/>
  <c r="L36"/>
  <c r="N36"/>
  <c r="P36"/>
  <c r="G37"/>
  <c r="M37"/>
  <c r="O37"/>
  <c r="F38"/>
  <c r="L38"/>
  <c r="N38"/>
  <c r="P38"/>
  <c r="G39"/>
  <c r="M39"/>
  <c r="O39"/>
  <c r="F40"/>
  <c r="L40"/>
  <c r="N40"/>
  <c r="P40"/>
  <c r="G41"/>
  <c r="M41"/>
  <c r="O41"/>
  <c r="G12"/>
  <c r="M12"/>
  <c r="O12"/>
  <c r="F13"/>
  <c r="L13"/>
  <c r="N13"/>
  <c r="P13"/>
  <c r="G14"/>
  <c r="M14"/>
  <c r="O14"/>
  <c r="F15"/>
  <c r="L15"/>
  <c r="N15"/>
  <c r="P15"/>
  <c r="G16"/>
  <c r="M16"/>
  <c r="O16"/>
  <c r="F17"/>
  <c r="L17"/>
  <c r="N17"/>
  <c r="P17"/>
  <c r="G18"/>
  <c r="M18"/>
  <c r="O18"/>
  <c r="F19"/>
  <c r="L19"/>
  <c r="N19"/>
  <c r="P19"/>
  <c r="G20"/>
  <c r="M20"/>
  <c r="O20"/>
  <c r="F21"/>
  <c r="L21"/>
  <c r="N21"/>
  <c r="P21"/>
  <c r="G22"/>
  <c r="M22"/>
  <c r="O22"/>
  <c r="F23"/>
  <c r="L23"/>
  <c r="N23"/>
  <c r="P23"/>
  <c r="G24"/>
  <c r="M24"/>
  <c r="O24"/>
  <c r="F25"/>
  <c r="L25"/>
  <c r="N25"/>
  <c r="P25"/>
  <c r="G26"/>
  <c r="M26"/>
  <c r="O26"/>
  <c r="F27"/>
  <c r="L27"/>
  <c r="N27"/>
  <c r="P27"/>
  <c r="G28"/>
  <c r="M28"/>
  <c r="O28"/>
  <c r="F29"/>
  <c r="L29"/>
  <c r="N29"/>
  <c r="P29"/>
  <c r="G30"/>
  <c r="M30"/>
  <c r="O30"/>
  <c r="F31"/>
  <c r="L31"/>
  <c r="N31"/>
  <c r="P31"/>
  <c r="G32"/>
  <c r="M32"/>
  <c r="O32"/>
  <c r="F33"/>
  <c r="L33"/>
  <c r="N33"/>
  <c r="P33"/>
  <c r="G34"/>
  <c r="M34"/>
  <c r="O34"/>
  <c r="F35"/>
  <c r="L35"/>
  <c r="N35"/>
  <c r="P35"/>
  <c r="G36"/>
  <c r="M36"/>
  <c r="O36"/>
  <c r="F37"/>
  <c r="L37"/>
  <c r="N37"/>
  <c r="P37"/>
  <c r="G38"/>
  <c r="M38"/>
  <c r="O38"/>
  <c r="F39"/>
  <c r="L39"/>
  <c r="N39"/>
  <c r="P39"/>
  <c r="G40"/>
  <c r="M40"/>
  <c r="O40"/>
  <c r="F41"/>
  <c r="L41"/>
  <c r="N41"/>
  <c r="P41"/>
  <c r="M3" i="22"/>
  <c r="M2" s="1"/>
  <c r="I140" i="32"/>
  <c r="A94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64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7"/>
  <c r="A8" s="1"/>
  <c r="A9" s="1"/>
  <c r="A10" s="1"/>
  <c r="A11" s="1"/>
  <c r="A12" l="1"/>
  <c r="O42" i="33"/>
  <c r="F42"/>
  <c r="N42"/>
  <c r="M42"/>
  <c r="L42"/>
  <c r="L44" s="1"/>
  <c r="L45" s="1"/>
  <c r="L46" s="1"/>
  <c r="P42"/>
  <c r="G42"/>
  <c r="G44" s="1"/>
  <c r="P85"/>
  <c r="L85"/>
  <c r="M85"/>
  <c r="N85"/>
  <c r="F85"/>
  <c r="O85"/>
  <c r="G85"/>
  <c r="O84"/>
  <c r="M84"/>
  <c r="P84"/>
  <c r="N84"/>
  <c r="L84"/>
  <c r="F84"/>
  <c r="G84"/>
  <c r="B87"/>
  <c r="C86"/>
  <c r="O86" s="1"/>
  <c r="M44"/>
  <c r="N44"/>
  <c r="F44"/>
  <c r="O44"/>
  <c r="O45" s="1"/>
  <c r="O46" s="1"/>
  <c r="P44"/>
  <c r="P45" s="1"/>
  <c r="P46" s="1"/>
  <c r="L13" i="31"/>
  <c r="A13" i="32" l="1"/>
  <c r="L86" i="33"/>
  <c r="P86"/>
  <c r="M86"/>
  <c r="F86"/>
  <c r="N86"/>
  <c r="G86"/>
  <c r="B88"/>
  <c r="C87"/>
  <c r="N87" s="1"/>
  <c r="M45"/>
  <c r="M46" s="1"/>
  <c r="L47" s="1"/>
  <c r="F45"/>
  <c r="B50" i="26"/>
  <c r="A14" i="32" l="1"/>
  <c r="C88" i="33"/>
  <c r="O88" s="1"/>
  <c r="G87"/>
  <c r="O87"/>
  <c r="L87"/>
  <c r="P87"/>
  <c r="M87"/>
  <c r="F87"/>
  <c r="B49" i="26"/>
  <c r="A15" i="32" l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P88" i="33"/>
  <c r="L88"/>
  <c r="M88"/>
  <c r="F88"/>
  <c r="N88"/>
  <c r="G88"/>
  <c r="B48" i="26"/>
  <c r="B47" l="1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H13"/>
  <c r="B13"/>
  <c r="B12"/>
  <c r="B11"/>
  <c r="B10"/>
  <c r="B9"/>
  <c r="B8"/>
  <c r="B7"/>
  <c r="B6"/>
  <c r="B5"/>
  <c r="B4"/>
  <c r="B3"/>
  <c r="A117" i="24" l="1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82" l="1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55" l="1"/>
  <c r="A54"/>
  <c r="A53" l="1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9"/>
  <c r="A8"/>
  <c r="A7"/>
  <c r="G10" i="22" l="1"/>
  <c r="G9" l="1"/>
  <c r="I2" i="32"/>
  <c r="I25" i="22"/>
  <c r="I24"/>
  <c r="I23"/>
  <c r="I22"/>
  <c r="G24"/>
  <c r="G22"/>
  <c r="H2" i="24"/>
  <c r="I55" i="22"/>
  <c r="I139" i="32" s="1"/>
  <c r="G25" i="22"/>
  <c r="G23"/>
  <c r="I9"/>
  <c r="I10"/>
  <c r="J382" i="23"/>
  <c r="P371"/>
  <c r="O371"/>
  <c r="N371"/>
  <c r="M371"/>
  <c r="L371"/>
  <c r="H120" i="24" l="1"/>
  <c r="H117" a="1"/>
  <c r="D117" a="1"/>
  <c r="F116" a="1"/>
  <c r="H115" a="1"/>
  <c r="D115" a="1"/>
  <c r="F114" a="1"/>
  <c r="H113" a="1"/>
  <c r="D113" a="1"/>
  <c r="F112" a="1"/>
  <c r="H111" a="1"/>
  <c r="D111" a="1"/>
  <c r="F110" a="1"/>
  <c r="H109" a="1"/>
  <c r="D109" a="1"/>
  <c r="F108" a="1"/>
  <c r="H107" a="1"/>
  <c r="D107" a="1"/>
  <c r="F106" a="1"/>
  <c r="H105" a="1"/>
  <c r="D105" a="1"/>
  <c r="F104" a="1"/>
  <c r="H103" a="1"/>
  <c r="D103" a="1"/>
  <c r="F102" a="1"/>
  <c r="H101" a="1"/>
  <c r="D101" a="1"/>
  <c r="F100" a="1"/>
  <c r="H99" a="1"/>
  <c r="D99" a="1"/>
  <c r="F98" a="1"/>
  <c r="H97" a="1"/>
  <c r="D97" a="1"/>
  <c r="F96" a="1"/>
  <c r="H95" a="1"/>
  <c r="D95" a="1"/>
  <c r="F94" a="1"/>
  <c r="H93" a="1"/>
  <c r="D93" a="1"/>
  <c r="I117" a="1"/>
  <c r="H117" s="1"/>
  <c r="E117" a="1"/>
  <c r="G116" a="1"/>
  <c r="I115" a="1"/>
  <c r="H115" s="1"/>
  <c r="E115" a="1"/>
  <c r="G114" a="1"/>
  <c r="I113" a="1"/>
  <c r="H113" s="1"/>
  <c r="E113" a="1"/>
  <c r="G112" a="1"/>
  <c r="I111" a="1"/>
  <c r="H111" s="1"/>
  <c r="E111" a="1"/>
  <c r="G110" a="1"/>
  <c r="I109" a="1"/>
  <c r="H109" s="1"/>
  <c r="E109" a="1"/>
  <c r="G108" a="1"/>
  <c r="I107" a="1"/>
  <c r="H107" s="1"/>
  <c r="E107" a="1"/>
  <c r="G106" a="1"/>
  <c r="I105" a="1"/>
  <c r="H105" s="1"/>
  <c r="E105" a="1"/>
  <c r="G104" a="1"/>
  <c r="I103" a="1"/>
  <c r="H103" s="1"/>
  <c r="E103" a="1"/>
  <c r="G102" a="1"/>
  <c r="I101" a="1"/>
  <c r="H101" s="1"/>
  <c r="E101" a="1"/>
  <c r="G100" a="1"/>
  <c r="I99" a="1"/>
  <c r="H99" s="1"/>
  <c r="E99" a="1"/>
  <c r="G98" a="1"/>
  <c r="I97" a="1"/>
  <c r="H97" s="1"/>
  <c r="E97" a="1"/>
  <c r="G96" a="1"/>
  <c r="I95" a="1"/>
  <c r="H95" s="1"/>
  <c r="E95" a="1"/>
  <c r="G94" a="1"/>
  <c r="I93" a="1"/>
  <c r="H93" s="1"/>
  <c r="E93" a="1"/>
  <c r="H85"/>
  <c r="G82" a="1"/>
  <c r="I81" a="1"/>
  <c r="E81" a="1"/>
  <c r="G80" a="1"/>
  <c r="I79" a="1"/>
  <c r="E79" a="1"/>
  <c r="G78" a="1"/>
  <c r="I77" a="1"/>
  <c r="E77" a="1"/>
  <c r="G76" a="1"/>
  <c r="I75" a="1"/>
  <c r="E75" a="1"/>
  <c r="G74" a="1"/>
  <c r="I73" a="1"/>
  <c r="E73" a="1"/>
  <c r="G72" a="1"/>
  <c r="I71" a="1"/>
  <c r="E71" a="1"/>
  <c r="G70" a="1"/>
  <c r="I69" a="1"/>
  <c r="E69" a="1"/>
  <c r="H68" a="1"/>
  <c r="I67" a="1"/>
  <c r="E67" a="1"/>
  <c r="H66" a="1"/>
  <c r="I65" a="1"/>
  <c r="E65" a="1"/>
  <c r="H64" a="1"/>
  <c r="I85"/>
  <c r="H82" a="1"/>
  <c r="D82" a="1"/>
  <c r="D82" s="1"/>
  <c r="F81" a="1"/>
  <c r="H80" a="1"/>
  <c r="D80" a="1"/>
  <c r="D80" s="1"/>
  <c r="F79" a="1"/>
  <c r="H78" a="1"/>
  <c r="D78" a="1"/>
  <c r="D78" s="1"/>
  <c r="F77" a="1"/>
  <c r="H76" a="1"/>
  <c r="D76" a="1"/>
  <c r="D76" s="1"/>
  <c r="F75" a="1"/>
  <c r="H74" a="1"/>
  <c r="D74" a="1"/>
  <c r="D74" s="1"/>
  <c r="F73" a="1"/>
  <c r="H72" a="1"/>
  <c r="D72" a="1"/>
  <c r="D72" s="1"/>
  <c r="F71" a="1"/>
  <c r="H70" a="1"/>
  <c r="D70" a="1"/>
  <c r="D70" s="1"/>
  <c r="F69" a="1"/>
  <c r="G68" a="1"/>
  <c r="D68" a="1"/>
  <c r="D68" s="1"/>
  <c r="F67" a="1"/>
  <c r="G66" a="1"/>
  <c r="D66" a="1"/>
  <c r="D66" s="1"/>
  <c r="F65" a="1"/>
  <c r="G64" a="1"/>
  <c r="D64" a="1"/>
  <c r="D64" s="1"/>
  <c r="G63" a="1"/>
  <c r="D63" a="1"/>
  <c r="D63" s="1"/>
  <c r="G58"/>
  <c r="H63" a="1"/>
  <c r="J120"/>
  <c r="I120"/>
  <c r="F117" a="1"/>
  <c r="H116" a="1"/>
  <c r="D116" a="1"/>
  <c r="F115" a="1"/>
  <c r="H114" a="1"/>
  <c r="D114" a="1"/>
  <c r="F113" a="1"/>
  <c r="H112" a="1"/>
  <c r="D112" a="1"/>
  <c r="F111" a="1"/>
  <c r="H110" a="1"/>
  <c r="D110" a="1"/>
  <c r="F109" a="1"/>
  <c r="H108" a="1"/>
  <c r="D108" a="1"/>
  <c r="F107" a="1"/>
  <c r="H106" a="1"/>
  <c r="D106" a="1"/>
  <c r="F105" a="1"/>
  <c r="H104" a="1"/>
  <c r="D104" a="1"/>
  <c r="F103" a="1"/>
  <c r="H102" a="1"/>
  <c r="D102" a="1"/>
  <c r="F101" a="1"/>
  <c r="H100" a="1"/>
  <c r="D100" a="1"/>
  <c r="F99" a="1"/>
  <c r="H98" a="1"/>
  <c r="D98" a="1"/>
  <c r="F97" a="1"/>
  <c r="H96" a="1"/>
  <c r="D96" a="1"/>
  <c r="F95" a="1"/>
  <c r="H94" a="1"/>
  <c r="D94" a="1"/>
  <c r="F93" a="1"/>
  <c r="G120"/>
  <c r="G117" a="1"/>
  <c r="I116" a="1"/>
  <c r="H116" s="1"/>
  <c r="E116" a="1"/>
  <c r="G115" a="1"/>
  <c r="I114" a="1"/>
  <c r="H114" s="1"/>
  <c r="E114" a="1"/>
  <c r="G113" a="1"/>
  <c r="I112" a="1"/>
  <c r="H112" s="1"/>
  <c r="E112" a="1"/>
  <c r="G111" a="1"/>
  <c r="I110" a="1"/>
  <c r="H110" s="1"/>
  <c r="E110" a="1"/>
  <c r="G109" a="1"/>
  <c r="I108" a="1"/>
  <c r="H108" s="1"/>
  <c r="E108" a="1"/>
  <c r="G107" a="1"/>
  <c r="I106" a="1"/>
  <c r="H106" s="1"/>
  <c r="E106" a="1"/>
  <c r="G105" a="1"/>
  <c r="I104" a="1"/>
  <c r="H104" s="1"/>
  <c r="E104" a="1"/>
  <c r="G103" a="1"/>
  <c r="I102" a="1"/>
  <c r="H102" s="1"/>
  <c r="E102" a="1"/>
  <c r="G101" a="1"/>
  <c r="I100" a="1"/>
  <c r="H100" s="1"/>
  <c r="E100" a="1"/>
  <c r="G99" a="1"/>
  <c r="I98" a="1"/>
  <c r="H98" s="1"/>
  <c r="E98" a="1"/>
  <c r="G97" a="1"/>
  <c r="I96" a="1"/>
  <c r="H96" s="1"/>
  <c r="E96" a="1"/>
  <c r="G95" a="1"/>
  <c r="I94" a="1"/>
  <c r="H94" s="1"/>
  <c r="E94" a="1"/>
  <c r="G93" a="1"/>
  <c r="J85"/>
  <c r="I82" a="1"/>
  <c r="E82" a="1"/>
  <c r="G81" a="1"/>
  <c r="I80" a="1"/>
  <c r="E80" a="1"/>
  <c r="G79" a="1"/>
  <c r="I78" a="1"/>
  <c r="E78" a="1"/>
  <c r="G77" a="1"/>
  <c r="I76" a="1"/>
  <c r="E76" a="1"/>
  <c r="G75" a="1"/>
  <c r="I74" a="1"/>
  <c r="E74" a="1"/>
  <c r="G73" a="1"/>
  <c r="I72" a="1"/>
  <c r="E72" a="1"/>
  <c r="G71" a="1"/>
  <c r="I70" a="1"/>
  <c r="E70" a="1"/>
  <c r="G69" a="1"/>
  <c r="D69" a="1"/>
  <c r="D69" s="1"/>
  <c r="F68" a="1"/>
  <c r="G67" a="1"/>
  <c r="D67" a="1"/>
  <c r="D67" s="1"/>
  <c r="F66" a="1"/>
  <c r="G65" a="1"/>
  <c r="D65" a="1"/>
  <c r="D65" s="1"/>
  <c r="F64" a="1"/>
  <c r="G85"/>
  <c r="F82" a="1"/>
  <c r="H81" a="1"/>
  <c r="D81" a="1"/>
  <c r="F80" a="1"/>
  <c r="H79" a="1"/>
  <c r="D79" a="1"/>
  <c r="F78" a="1"/>
  <c r="H77" a="1"/>
  <c r="D77" a="1"/>
  <c r="F76" a="1"/>
  <c r="H75" a="1"/>
  <c r="D75" a="1"/>
  <c r="F74" a="1"/>
  <c r="H73" a="1"/>
  <c r="D73" a="1"/>
  <c r="F72" a="1"/>
  <c r="H71" a="1"/>
  <c r="D71" a="1"/>
  <c r="F70" a="1"/>
  <c r="H69" a="1"/>
  <c r="I68" a="1"/>
  <c r="E68" a="1"/>
  <c r="E68" s="1"/>
  <c r="B68" s="1"/>
  <c r="H67" a="1"/>
  <c r="I66" a="1"/>
  <c r="E66" a="1"/>
  <c r="E66" s="1"/>
  <c r="B66" s="1"/>
  <c r="H65" a="1"/>
  <c r="I64" a="1"/>
  <c r="E64" a="1"/>
  <c r="E64" s="1"/>
  <c r="B64" s="1"/>
  <c r="I63" a="1"/>
  <c r="E63" a="1"/>
  <c r="I58"/>
  <c r="H58"/>
  <c r="F63" a="1"/>
  <c r="I141" i="32"/>
  <c r="L57" i="22"/>
  <c r="G120" i="32"/>
  <c r="H117" a="1"/>
  <c r="H117" s="1"/>
  <c r="F117" a="1"/>
  <c r="F117" s="1"/>
  <c r="D117" a="1"/>
  <c r="D117" s="1"/>
  <c r="H115" a="1"/>
  <c r="H115" s="1"/>
  <c r="F115" a="1"/>
  <c r="F115" s="1"/>
  <c r="D115" a="1"/>
  <c r="D115" s="1"/>
  <c r="H113" a="1"/>
  <c r="H113" s="1"/>
  <c r="F113" a="1"/>
  <c r="F113" s="1"/>
  <c r="D113" a="1"/>
  <c r="D113" s="1"/>
  <c r="H111" a="1"/>
  <c r="H111" s="1"/>
  <c r="F111" a="1"/>
  <c r="F111" s="1"/>
  <c r="D111" a="1"/>
  <c r="D111" s="1"/>
  <c r="H109" a="1"/>
  <c r="H109" s="1"/>
  <c r="F109" a="1"/>
  <c r="F109" s="1"/>
  <c r="D109" a="1"/>
  <c r="D109" s="1"/>
  <c r="H107" a="1"/>
  <c r="H107" s="1"/>
  <c r="F107" a="1"/>
  <c r="F107" s="1"/>
  <c r="D107" a="1"/>
  <c r="D107" s="1"/>
  <c r="H105" a="1"/>
  <c r="H105" s="1"/>
  <c r="F105" a="1"/>
  <c r="F105" s="1"/>
  <c r="D105" a="1"/>
  <c r="D105" s="1"/>
  <c r="H103" a="1"/>
  <c r="H103" s="1"/>
  <c r="F103" a="1"/>
  <c r="F103" s="1"/>
  <c r="D103" a="1"/>
  <c r="D103" s="1"/>
  <c r="H101" a="1"/>
  <c r="H101" s="1"/>
  <c r="F101" a="1"/>
  <c r="F101" s="1"/>
  <c r="D101" a="1"/>
  <c r="D101" s="1"/>
  <c r="H99" a="1"/>
  <c r="H99" s="1"/>
  <c r="F99" a="1"/>
  <c r="F99" s="1"/>
  <c r="D99" a="1"/>
  <c r="D99" s="1"/>
  <c r="H97" a="1"/>
  <c r="H97" s="1"/>
  <c r="F97" a="1"/>
  <c r="F97" s="1"/>
  <c r="D97" a="1"/>
  <c r="D97" s="1"/>
  <c r="H95" a="1"/>
  <c r="H95" s="1"/>
  <c r="F95" a="1"/>
  <c r="F95" s="1"/>
  <c r="D95" a="1"/>
  <c r="D95" s="1"/>
  <c r="H85"/>
  <c r="H120"/>
  <c r="H116" a="1"/>
  <c r="H116" s="1"/>
  <c r="F116" a="1"/>
  <c r="F116" s="1"/>
  <c r="D116" a="1"/>
  <c r="D116" s="1"/>
  <c r="H114" a="1"/>
  <c r="H114" s="1"/>
  <c r="F114" a="1"/>
  <c r="F114" s="1"/>
  <c r="D114" a="1"/>
  <c r="D114" s="1"/>
  <c r="H112" a="1"/>
  <c r="H112" s="1"/>
  <c r="F112" a="1"/>
  <c r="F112" s="1"/>
  <c r="D112" a="1"/>
  <c r="D112" s="1"/>
  <c r="H110" a="1"/>
  <c r="H110" s="1"/>
  <c r="F110" a="1"/>
  <c r="F110" s="1"/>
  <c r="D110" a="1"/>
  <c r="D110" s="1"/>
  <c r="H108" a="1"/>
  <c r="H108" s="1"/>
  <c r="F108" a="1"/>
  <c r="F108" s="1"/>
  <c r="D108" a="1"/>
  <c r="D108" s="1"/>
  <c r="H106" a="1"/>
  <c r="H106" s="1"/>
  <c r="F106" a="1"/>
  <c r="F106" s="1"/>
  <c r="D106" a="1"/>
  <c r="D106" s="1"/>
  <c r="H104" a="1"/>
  <c r="H104" s="1"/>
  <c r="F104" a="1"/>
  <c r="F104" s="1"/>
  <c r="D104" a="1"/>
  <c r="D104" s="1"/>
  <c r="H102" a="1"/>
  <c r="H102" s="1"/>
  <c r="F102" a="1"/>
  <c r="F102" s="1"/>
  <c r="D102" a="1"/>
  <c r="D102" s="1"/>
  <c r="H100" a="1"/>
  <c r="H100" s="1"/>
  <c r="F100" a="1"/>
  <c r="F100" s="1"/>
  <c r="D100" a="1"/>
  <c r="D100" s="1"/>
  <c r="H98" a="1"/>
  <c r="H98" s="1"/>
  <c r="F98" a="1"/>
  <c r="F98" s="1"/>
  <c r="D98" a="1"/>
  <c r="D98" s="1"/>
  <c r="H96" a="1"/>
  <c r="H96" s="1"/>
  <c r="F96" a="1"/>
  <c r="F96" s="1"/>
  <c r="D96" a="1"/>
  <c r="D96" s="1"/>
  <c r="H94" a="1"/>
  <c r="H94" s="1"/>
  <c r="F94" a="1"/>
  <c r="F94" s="1"/>
  <c r="D94" a="1"/>
  <c r="D94" s="1"/>
  <c r="H93" a="1"/>
  <c r="H93" s="1"/>
  <c r="F93" a="1"/>
  <c r="F93" s="1"/>
  <c r="D93" a="1"/>
  <c r="D93" s="1"/>
  <c r="G85"/>
  <c r="H82" a="1"/>
  <c r="H82" s="1"/>
  <c r="F82" a="1"/>
  <c r="F82" s="1"/>
  <c r="D82" a="1"/>
  <c r="D82" s="1"/>
  <c r="H81" a="1"/>
  <c r="H81" s="1"/>
  <c r="F81" a="1"/>
  <c r="F81" s="1"/>
  <c r="D81" a="1"/>
  <c r="D81" s="1"/>
  <c r="H80" a="1"/>
  <c r="H80" s="1"/>
  <c r="F80" a="1"/>
  <c r="F80" s="1"/>
  <c r="D80" a="1"/>
  <c r="D80" s="1"/>
  <c r="G79" a="1"/>
  <c r="G79" s="1"/>
  <c r="I78" a="1"/>
  <c r="I78" s="1"/>
  <c r="E78" a="1"/>
  <c r="E78" s="1"/>
  <c r="B78" s="1"/>
  <c r="I63" a="1"/>
  <c r="I63" s="1"/>
  <c r="G63" a="1"/>
  <c r="G63" s="1"/>
  <c r="E63" a="1"/>
  <c r="E63" s="1"/>
  <c r="B63" s="1"/>
  <c r="H58"/>
  <c r="F79" a="1"/>
  <c r="F79" s="1"/>
  <c r="H78" a="1"/>
  <c r="H78" s="1"/>
  <c r="G77" a="1"/>
  <c r="G77" s="1"/>
  <c r="E77" a="1"/>
  <c r="E77" s="1"/>
  <c r="B77" s="1"/>
  <c r="G76" a="1"/>
  <c r="G76" s="1"/>
  <c r="I75" a="1"/>
  <c r="I75" s="1"/>
  <c r="I74" a="1"/>
  <c r="I74" s="1"/>
  <c r="E74" a="1"/>
  <c r="E74" s="1"/>
  <c r="B74" s="1"/>
  <c r="G73" a="1"/>
  <c r="G73" s="1"/>
  <c r="I72" a="1"/>
  <c r="I72" s="1"/>
  <c r="I71" a="1"/>
  <c r="I71" s="1"/>
  <c r="E71" a="1"/>
  <c r="E71" s="1"/>
  <c r="B71" s="1"/>
  <c r="G70" a="1"/>
  <c r="G70" s="1"/>
  <c r="I69" a="1"/>
  <c r="I69" s="1"/>
  <c r="E69" a="1"/>
  <c r="E69" s="1"/>
  <c r="B69" s="1"/>
  <c r="E68" a="1"/>
  <c r="E68" s="1"/>
  <c r="B68" s="1"/>
  <c r="G67" a="1"/>
  <c r="G67" s="1"/>
  <c r="I66" a="1"/>
  <c r="I66" s="1"/>
  <c r="E66" a="1"/>
  <c r="E66" s="1"/>
  <c r="B66" s="1"/>
  <c r="G65" a="1"/>
  <c r="G65" s="1"/>
  <c r="I64" a="1"/>
  <c r="I64" s="1"/>
  <c r="E64" a="1"/>
  <c r="E64" s="1"/>
  <c r="B64" s="1"/>
  <c r="I120"/>
  <c r="I117" a="1"/>
  <c r="I117" s="1"/>
  <c r="G117" a="1"/>
  <c r="G117" s="1"/>
  <c r="E117" a="1"/>
  <c r="E117" s="1"/>
  <c r="I115" a="1"/>
  <c r="I115" s="1"/>
  <c r="G115" a="1"/>
  <c r="G115" s="1"/>
  <c r="E115" a="1"/>
  <c r="E115" s="1"/>
  <c r="I113" a="1"/>
  <c r="I113" s="1"/>
  <c r="G113" a="1"/>
  <c r="G113" s="1"/>
  <c r="E113" a="1"/>
  <c r="E113" s="1"/>
  <c r="I111" a="1"/>
  <c r="I111" s="1"/>
  <c r="G111" a="1"/>
  <c r="G111" s="1"/>
  <c r="E111" a="1"/>
  <c r="E111" s="1"/>
  <c r="I109" a="1"/>
  <c r="I109" s="1"/>
  <c r="G109" a="1"/>
  <c r="G109" s="1"/>
  <c r="E109" a="1"/>
  <c r="E109" s="1"/>
  <c r="I107" a="1"/>
  <c r="I107" s="1"/>
  <c r="G107" a="1"/>
  <c r="G107" s="1"/>
  <c r="E107" a="1"/>
  <c r="E107" s="1"/>
  <c r="I105" a="1"/>
  <c r="I105" s="1"/>
  <c r="G105" a="1"/>
  <c r="G105" s="1"/>
  <c r="E105" a="1"/>
  <c r="E105" s="1"/>
  <c r="I103" a="1"/>
  <c r="I103" s="1"/>
  <c r="G103" a="1"/>
  <c r="G103" s="1"/>
  <c r="E103" a="1"/>
  <c r="E103" s="1"/>
  <c r="I101" a="1"/>
  <c r="I101" s="1"/>
  <c r="G101" a="1"/>
  <c r="G101" s="1"/>
  <c r="E101" a="1"/>
  <c r="E101" s="1"/>
  <c r="I99" a="1"/>
  <c r="I99" s="1"/>
  <c r="G99" a="1"/>
  <c r="G99" s="1"/>
  <c r="E99" a="1"/>
  <c r="E99" s="1"/>
  <c r="I97" a="1"/>
  <c r="I97" s="1"/>
  <c r="G97" a="1"/>
  <c r="G97" s="1"/>
  <c r="E97" a="1"/>
  <c r="E97" s="1"/>
  <c r="I95" a="1"/>
  <c r="I95" s="1"/>
  <c r="G95" a="1"/>
  <c r="G95" s="1"/>
  <c r="E95" a="1"/>
  <c r="E95" s="1"/>
  <c r="J85"/>
  <c r="J120"/>
  <c r="I116" a="1"/>
  <c r="I116" s="1"/>
  <c r="G116" a="1"/>
  <c r="G116" s="1"/>
  <c r="E116" a="1"/>
  <c r="E116" s="1"/>
  <c r="I114" a="1"/>
  <c r="I114" s="1"/>
  <c r="G114" a="1"/>
  <c r="G114" s="1"/>
  <c r="E114" a="1"/>
  <c r="E114" s="1"/>
  <c r="I112" a="1"/>
  <c r="I112" s="1"/>
  <c r="G112" a="1"/>
  <c r="G112" s="1"/>
  <c r="E112" a="1"/>
  <c r="E112" s="1"/>
  <c r="I110" a="1"/>
  <c r="I110" s="1"/>
  <c r="G110" a="1"/>
  <c r="G110" s="1"/>
  <c r="E110" a="1"/>
  <c r="E110" s="1"/>
  <c r="I108" a="1"/>
  <c r="I108" s="1"/>
  <c r="G108" a="1"/>
  <c r="G108" s="1"/>
  <c r="E108" a="1"/>
  <c r="E108" s="1"/>
  <c r="I106" a="1"/>
  <c r="I106" s="1"/>
  <c r="G106" a="1"/>
  <c r="G106" s="1"/>
  <c r="E106" a="1"/>
  <c r="E106" s="1"/>
  <c r="I104" a="1"/>
  <c r="I104" s="1"/>
  <c r="G104" a="1"/>
  <c r="G104" s="1"/>
  <c r="E104" a="1"/>
  <c r="E104" s="1"/>
  <c r="I102" a="1"/>
  <c r="I102" s="1"/>
  <c r="G102" a="1"/>
  <c r="G102" s="1"/>
  <c r="E102" a="1"/>
  <c r="E102" s="1"/>
  <c r="I100" a="1"/>
  <c r="I100" s="1"/>
  <c r="G100" a="1"/>
  <c r="G100" s="1"/>
  <c r="E100" a="1"/>
  <c r="E100" s="1"/>
  <c r="I98" a="1"/>
  <c r="I98" s="1"/>
  <c r="G98" a="1"/>
  <c r="G98" s="1"/>
  <c r="E98" a="1"/>
  <c r="E98" s="1"/>
  <c r="I96" a="1"/>
  <c r="I96" s="1"/>
  <c r="G96" a="1"/>
  <c r="G96" s="1"/>
  <c r="E96" a="1"/>
  <c r="E96" s="1"/>
  <c r="I94" a="1"/>
  <c r="I94" s="1"/>
  <c r="G94" a="1"/>
  <c r="G94" s="1"/>
  <c r="E94" a="1"/>
  <c r="E94" s="1"/>
  <c r="I93" a="1"/>
  <c r="I93" s="1"/>
  <c r="G93" a="1"/>
  <c r="G93" s="1"/>
  <c r="E93" a="1"/>
  <c r="E93" s="1"/>
  <c r="I85"/>
  <c r="I82" a="1"/>
  <c r="I82" s="1"/>
  <c r="G82" a="1"/>
  <c r="G82" s="1"/>
  <c r="E82" a="1"/>
  <c r="E82" s="1"/>
  <c r="B82" s="1"/>
  <c r="I81" a="1"/>
  <c r="I81" s="1"/>
  <c r="G81" a="1"/>
  <c r="G81" s="1"/>
  <c r="E81" a="1"/>
  <c r="E81" s="1"/>
  <c r="B81" s="1"/>
  <c r="I80" a="1"/>
  <c r="I80" s="1"/>
  <c r="G80" a="1"/>
  <c r="G80" s="1"/>
  <c r="E80" a="1"/>
  <c r="E80" s="1"/>
  <c r="B80" s="1"/>
  <c r="I79" a="1"/>
  <c r="I79" s="1"/>
  <c r="E79" a="1"/>
  <c r="E79" s="1"/>
  <c r="B79" s="1"/>
  <c r="G78" a="1"/>
  <c r="G78" s="1"/>
  <c r="I77" a="1"/>
  <c r="I77" s="1"/>
  <c r="H63" a="1"/>
  <c r="H63" s="1"/>
  <c r="F63" a="1"/>
  <c r="F63" s="1"/>
  <c r="D63" a="1"/>
  <c r="D63" s="1"/>
  <c r="H79" a="1"/>
  <c r="H79" s="1"/>
  <c r="D79" a="1"/>
  <c r="D79" s="1"/>
  <c r="F78" a="1"/>
  <c r="F78" s="1"/>
  <c r="H77" a="1"/>
  <c r="H77" s="1"/>
  <c r="F77" a="1"/>
  <c r="F77" s="1"/>
  <c r="D77" a="1"/>
  <c r="D77" s="1"/>
  <c r="H76" a="1"/>
  <c r="H76" s="1"/>
  <c r="F76" a="1"/>
  <c r="F76" s="1"/>
  <c r="D76" a="1"/>
  <c r="D76" s="1"/>
  <c r="H75" a="1"/>
  <c r="H75" s="1"/>
  <c r="F75" a="1"/>
  <c r="F75" s="1"/>
  <c r="D75" a="1"/>
  <c r="D75" s="1"/>
  <c r="H74" a="1"/>
  <c r="H74" s="1"/>
  <c r="F74" a="1"/>
  <c r="F74" s="1"/>
  <c r="D74" a="1"/>
  <c r="D74" s="1"/>
  <c r="H73" a="1"/>
  <c r="H73" s="1"/>
  <c r="F73" a="1"/>
  <c r="F73" s="1"/>
  <c r="D73" a="1"/>
  <c r="D73" s="1"/>
  <c r="H72" a="1"/>
  <c r="H72" s="1"/>
  <c r="J72" s="1"/>
  <c r="L72" s="1"/>
  <c r="F72" a="1"/>
  <c r="F72" s="1"/>
  <c r="D72" a="1"/>
  <c r="D72" s="1"/>
  <c r="H71" a="1"/>
  <c r="H71" s="1"/>
  <c r="J71" s="1"/>
  <c r="L71" s="1"/>
  <c r="F71" a="1"/>
  <c r="F71" s="1"/>
  <c r="D71" a="1"/>
  <c r="D71" s="1"/>
  <c r="H70" a="1"/>
  <c r="H70" s="1"/>
  <c r="F70" a="1"/>
  <c r="F70" s="1"/>
  <c r="D70" a="1"/>
  <c r="D70" s="1"/>
  <c r="H69" a="1"/>
  <c r="H69" s="1"/>
  <c r="F69" a="1"/>
  <c r="F69" s="1"/>
  <c r="D69" a="1"/>
  <c r="D69" s="1"/>
  <c r="H68" a="1"/>
  <c r="H68" s="1"/>
  <c r="F68" a="1"/>
  <c r="F68" s="1"/>
  <c r="D68" a="1"/>
  <c r="D68" s="1"/>
  <c r="H67" a="1"/>
  <c r="H67" s="1"/>
  <c r="F67" a="1"/>
  <c r="F67" s="1"/>
  <c r="D67" a="1"/>
  <c r="D67" s="1"/>
  <c r="H66" a="1"/>
  <c r="H66" s="1"/>
  <c r="J66" s="1"/>
  <c r="L66" s="1"/>
  <c r="F66" a="1"/>
  <c r="F66" s="1"/>
  <c r="D66" a="1"/>
  <c r="D66" s="1"/>
  <c r="H65" a="1"/>
  <c r="H65" s="1"/>
  <c r="F65" a="1"/>
  <c r="F65" s="1"/>
  <c r="D65" a="1"/>
  <c r="D65" s="1"/>
  <c r="H64" a="1"/>
  <c r="H64" s="1"/>
  <c r="F64" a="1"/>
  <c r="F64" s="1"/>
  <c r="D64" a="1"/>
  <c r="D64" s="1"/>
  <c r="G58"/>
  <c r="D78" a="1"/>
  <c r="D78" s="1"/>
  <c r="I76" a="1"/>
  <c r="I76" s="1"/>
  <c r="E76" a="1"/>
  <c r="E76" s="1"/>
  <c r="B76" s="1"/>
  <c r="G75" a="1"/>
  <c r="G75" s="1"/>
  <c r="E75" a="1"/>
  <c r="E75" s="1"/>
  <c r="B75" s="1"/>
  <c r="G74" a="1"/>
  <c r="G74" s="1"/>
  <c r="I73" a="1"/>
  <c r="I73" s="1"/>
  <c r="E73" a="1"/>
  <c r="E73" s="1"/>
  <c r="B73" s="1"/>
  <c r="G72" a="1"/>
  <c r="G72" s="1"/>
  <c r="E72" a="1"/>
  <c r="E72" s="1"/>
  <c r="B72" s="1"/>
  <c r="G71" a="1"/>
  <c r="G71" s="1"/>
  <c r="I70" a="1"/>
  <c r="I70" s="1"/>
  <c r="E70" a="1"/>
  <c r="E70" s="1"/>
  <c r="B70" s="1"/>
  <c r="G69" a="1"/>
  <c r="G69" s="1"/>
  <c r="I68" a="1"/>
  <c r="I68" s="1"/>
  <c r="G68" a="1"/>
  <c r="G68" s="1"/>
  <c r="I67" a="1"/>
  <c r="I67" s="1"/>
  <c r="E67" a="1"/>
  <c r="E67" s="1"/>
  <c r="B67" s="1"/>
  <c r="G66" a="1"/>
  <c r="G66" s="1"/>
  <c r="I65" a="1"/>
  <c r="I65" s="1"/>
  <c r="E65" a="1"/>
  <c r="E65" s="1"/>
  <c r="B65" s="1"/>
  <c r="G64" a="1"/>
  <c r="G64" s="1"/>
  <c r="I58"/>
  <c r="G371" i="23"/>
  <c r="F371"/>
  <c r="G133" i="32" l="1"/>
  <c r="J69"/>
  <c r="L69" s="1"/>
  <c r="J75"/>
  <c r="L75" s="1"/>
  <c r="H64" i="24"/>
  <c r="H68"/>
  <c r="I133" i="32"/>
  <c r="J64"/>
  <c r="L64" s="1"/>
  <c r="J74"/>
  <c r="L74" s="1"/>
  <c r="J79"/>
  <c r="L79" s="1"/>
  <c r="I119"/>
  <c r="I131" s="1"/>
  <c r="J78"/>
  <c r="L78" s="1"/>
  <c r="H133"/>
  <c r="H133" i="24"/>
  <c r="G133" s="1"/>
  <c r="H66"/>
  <c r="J70" i="32"/>
  <c r="L70" s="1"/>
  <c r="J76"/>
  <c r="L76" s="1"/>
  <c r="J63"/>
  <c r="H84"/>
  <c r="G130"/>
  <c r="I130"/>
  <c r="I129"/>
  <c r="J130"/>
  <c r="H129"/>
  <c r="G129"/>
  <c r="H130"/>
  <c r="H119"/>
  <c r="H131" s="1"/>
  <c r="J93"/>
  <c r="E63" i="24"/>
  <c r="B63" s="1"/>
  <c r="F63"/>
  <c r="G67"/>
  <c r="H67"/>
  <c r="E70"/>
  <c r="B70" s="1"/>
  <c r="F70"/>
  <c r="G71"/>
  <c r="H71"/>
  <c r="D73"/>
  <c r="E74"/>
  <c r="B74" s="1"/>
  <c r="F74"/>
  <c r="G75"/>
  <c r="H75"/>
  <c r="D77"/>
  <c r="E78"/>
  <c r="B78" s="1"/>
  <c r="F78"/>
  <c r="G79"/>
  <c r="H79"/>
  <c r="D81"/>
  <c r="E82"/>
  <c r="B82" s="1"/>
  <c r="F82"/>
  <c r="F93"/>
  <c r="G93"/>
  <c r="D96"/>
  <c r="E96"/>
  <c r="F97"/>
  <c r="G97"/>
  <c r="D100"/>
  <c r="E100"/>
  <c r="F101"/>
  <c r="G101"/>
  <c r="D104"/>
  <c r="E104"/>
  <c r="F105"/>
  <c r="G105"/>
  <c r="D108"/>
  <c r="E108"/>
  <c r="F109"/>
  <c r="G109"/>
  <c r="D112"/>
  <c r="E112"/>
  <c r="F113"/>
  <c r="G113"/>
  <c r="D116"/>
  <c r="E116"/>
  <c r="F117"/>
  <c r="G117"/>
  <c r="F64"/>
  <c r="G64"/>
  <c r="E67"/>
  <c r="B67" s="1"/>
  <c r="F67"/>
  <c r="F68"/>
  <c r="G68"/>
  <c r="E71"/>
  <c r="F71"/>
  <c r="G72"/>
  <c r="H72"/>
  <c r="E75"/>
  <c r="F75"/>
  <c r="G76"/>
  <c r="H76"/>
  <c r="E79"/>
  <c r="F79"/>
  <c r="G80"/>
  <c r="H80"/>
  <c r="D93"/>
  <c r="E93"/>
  <c r="F94"/>
  <c r="G94"/>
  <c r="D97"/>
  <c r="E97"/>
  <c r="F98"/>
  <c r="G98"/>
  <c r="D101"/>
  <c r="E101"/>
  <c r="F102"/>
  <c r="G102"/>
  <c r="D105"/>
  <c r="E105"/>
  <c r="F106"/>
  <c r="G106"/>
  <c r="D109"/>
  <c r="E109"/>
  <c r="F110"/>
  <c r="G110"/>
  <c r="D113"/>
  <c r="E113"/>
  <c r="F114"/>
  <c r="G114"/>
  <c r="D117"/>
  <c r="E117"/>
  <c r="J65" i="32"/>
  <c r="L65" s="1"/>
  <c r="J67"/>
  <c r="L67" s="1"/>
  <c r="J73"/>
  <c r="L73" s="1"/>
  <c r="J77"/>
  <c r="L77" s="1"/>
  <c r="I88"/>
  <c r="G119"/>
  <c r="G131" s="1"/>
  <c r="I123"/>
  <c r="I84"/>
  <c r="J80"/>
  <c r="L80" s="1"/>
  <c r="J82"/>
  <c r="L82" s="1"/>
  <c r="J96"/>
  <c r="L96" s="1"/>
  <c r="J100"/>
  <c r="L100" s="1"/>
  <c r="J104"/>
  <c r="L104" s="1"/>
  <c r="J108"/>
  <c r="L108" s="1"/>
  <c r="J112"/>
  <c r="L112" s="1"/>
  <c r="J116"/>
  <c r="L116" s="1"/>
  <c r="H88"/>
  <c r="J97"/>
  <c r="L97" s="1"/>
  <c r="J101"/>
  <c r="L101" s="1"/>
  <c r="J105"/>
  <c r="L105" s="1"/>
  <c r="J109"/>
  <c r="L109" s="1"/>
  <c r="J113"/>
  <c r="L113" s="1"/>
  <c r="J117"/>
  <c r="L117" s="1"/>
  <c r="I88" i="24"/>
  <c r="G65"/>
  <c r="H65"/>
  <c r="G69"/>
  <c r="H69"/>
  <c r="B71"/>
  <c r="D71"/>
  <c r="E72"/>
  <c r="B72" s="1"/>
  <c r="F72"/>
  <c r="G73"/>
  <c r="H73"/>
  <c r="B75"/>
  <c r="D75"/>
  <c r="E76"/>
  <c r="B76" s="1"/>
  <c r="F76"/>
  <c r="G77"/>
  <c r="H77"/>
  <c r="B79"/>
  <c r="D79"/>
  <c r="E80"/>
  <c r="B80" s="1"/>
  <c r="F80"/>
  <c r="G81"/>
  <c r="H81"/>
  <c r="D94"/>
  <c r="E94"/>
  <c r="F95"/>
  <c r="G95"/>
  <c r="D98"/>
  <c r="E98"/>
  <c r="F99"/>
  <c r="G99"/>
  <c r="D102"/>
  <c r="E102"/>
  <c r="F103"/>
  <c r="G103"/>
  <c r="D106"/>
  <c r="E106"/>
  <c r="F107"/>
  <c r="G107"/>
  <c r="D110"/>
  <c r="E110"/>
  <c r="F111"/>
  <c r="G111"/>
  <c r="D114"/>
  <c r="E114"/>
  <c r="F115"/>
  <c r="G115"/>
  <c r="G63"/>
  <c r="H63"/>
  <c r="E65"/>
  <c r="B65" s="1"/>
  <c r="F65"/>
  <c r="F66"/>
  <c r="G66"/>
  <c r="E69"/>
  <c r="B69" s="1"/>
  <c r="F69"/>
  <c r="G70"/>
  <c r="H70"/>
  <c r="E73"/>
  <c r="B73" s="1"/>
  <c r="F73"/>
  <c r="G74"/>
  <c r="H74"/>
  <c r="E77"/>
  <c r="B77" s="1"/>
  <c r="F77"/>
  <c r="G78"/>
  <c r="H78"/>
  <c r="E81"/>
  <c r="B81" s="1"/>
  <c r="F81"/>
  <c r="G82"/>
  <c r="H82"/>
  <c r="D95"/>
  <c r="E95"/>
  <c r="F96"/>
  <c r="G96"/>
  <c r="D99"/>
  <c r="E99"/>
  <c r="F100"/>
  <c r="G100"/>
  <c r="D103"/>
  <c r="E103"/>
  <c r="F104"/>
  <c r="G104"/>
  <c r="D107"/>
  <c r="E107"/>
  <c r="F108"/>
  <c r="G108"/>
  <c r="D111"/>
  <c r="E111"/>
  <c r="F112"/>
  <c r="G112"/>
  <c r="D115"/>
  <c r="E115"/>
  <c r="F116"/>
  <c r="G116"/>
  <c r="J68" i="32"/>
  <c r="L68" s="1"/>
  <c r="G84"/>
  <c r="J81"/>
  <c r="L81" s="1"/>
  <c r="J94"/>
  <c r="L94" s="1"/>
  <c r="J98"/>
  <c r="L98" s="1"/>
  <c r="J102"/>
  <c r="L102" s="1"/>
  <c r="J106"/>
  <c r="L106" s="1"/>
  <c r="J110"/>
  <c r="L110" s="1"/>
  <c r="J114"/>
  <c r="L114" s="1"/>
  <c r="H123"/>
  <c r="J95"/>
  <c r="L95" s="1"/>
  <c r="J99"/>
  <c r="L99" s="1"/>
  <c r="J103"/>
  <c r="L103" s="1"/>
  <c r="J107"/>
  <c r="L107" s="1"/>
  <c r="J111"/>
  <c r="L111" s="1"/>
  <c r="J115"/>
  <c r="L115" s="1"/>
  <c r="I123" i="24"/>
  <c r="H123" s="1"/>
  <c r="H88"/>
  <c r="H119"/>
  <c r="H131" s="1"/>
  <c r="C370" i="23"/>
  <c r="B370" s="1"/>
  <c r="J130" i="24" l="1"/>
  <c r="I130"/>
  <c r="G130"/>
  <c r="H129"/>
  <c r="G129"/>
  <c r="H130"/>
  <c r="J84" i="32"/>
  <c r="H84" i="24"/>
  <c r="G84"/>
  <c r="G119"/>
  <c r="G131" s="1"/>
  <c r="J119" i="32"/>
  <c r="J131" s="1"/>
  <c r="J129"/>
  <c r="C369" i="23"/>
  <c r="B369" s="1"/>
  <c r="C368" l="1"/>
  <c r="B368" s="1"/>
  <c r="C367" l="1"/>
  <c r="B367" s="1"/>
  <c r="C366" l="1"/>
  <c r="B366" s="1"/>
  <c r="C365" l="1"/>
  <c r="B365" s="1"/>
  <c r="C364" l="1"/>
  <c r="B364" s="1"/>
  <c r="C363" l="1"/>
  <c r="B363" s="1"/>
  <c r="C362" l="1"/>
  <c r="B362" s="1"/>
  <c r="C361" l="1"/>
  <c r="B361" s="1"/>
  <c r="C360" l="1"/>
  <c r="B360" s="1"/>
  <c r="C359" l="1"/>
  <c r="B359" s="1"/>
  <c r="C358" l="1"/>
  <c r="B358" s="1"/>
  <c r="C357" l="1"/>
  <c r="B357" s="1"/>
  <c r="C356" l="1"/>
  <c r="B356" s="1"/>
  <c r="C355" l="1"/>
  <c r="B355" s="1"/>
  <c r="O70" i="33" l="1"/>
  <c r="O71" s="1"/>
  <c r="O72" s="1"/>
  <c r="M70"/>
  <c r="G70"/>
  <c r="C354" i="23"/>
  <c r="B354" s="1"/>
  <c r="C353" l="1"/>
  <c r="B353" s="1"/>
  <c r="C352" l="1"/>
  <c r="B352" s="1"/>
  <c r="C351" l="1"/>
  <c r="B351" s="1"/>
  <c r="C350" l="1"/>
  <c r="B350" s="1"/>
  <c r="C349" l="1"/>
  <c r="B349" s="1"/>
  <c r="C348" l="1"/>
  <c r="B348" s="1"/>
  <c r="C347" l="1"/>
  <c r="B347" s="1"/>
  <c r="C346" l="1"/>
  <c r="B346" s="1"/>
  <c r="C345" l="1"/>
  <c r="B345" s="1"/>
  <c r="C344" l="1"/>
  <c r="B344" s="1"/>
  <c r="C343" l="1"/>
  <c r="B343" s="1"/>
  <c r="C342" l="1"/>
  <c r="B342" s="1"/>
  <c r="C341" l="1"/>
  <c r="B341" s="1"/>
  <c r="C340" l="1"/>
  <c r="B340" s="1"/>
  <c r="C339" l="1"/>
  <c r="B339" s="1"/>
  <c r="C338" l="1"/>
  <c r="B338" s="1"/>
  <c r="C337" l="1"/>
  <c r="B337" s="1"/>
  <c r="C336" l="1"/>
  <c r="B336" s="1"/>
  <c r="C335" l="1"/>
  <c r="B335" s="1"/>
  <c r="C334" l="1"/>
  <c r="B334" s="1"/>
  <c r="C333" l="1"/>
  <c r="B333" s="1"/>
  <c r="C332" l="1"/>
  <c r="B332" s="1"/>
  <c r="C331" l="1"/>
  <c r="B331" s="1"/>
  <c r="C330" l="1"/>
  <c r="B330" s="1"/>
  <c r="C329" l="1"/>
  <c r="B329" s="1"/>
  <c r="C328" l="1"/>
  <c r="B328" s="1"/>
  <c r="C327" l="1"/>
  <c r="B327" s="1"/>
  <c r="C326" l="1"/>
  <c r="B326" s="1"/>
  <c r="C325" l="1"/>
  <c r="B325" s="1"/>
  <c r="C324" l="1"/>
  <c r="B324" s="1"/>
  <c r="C323" l="1"/>
  <c r="B323" s="1"/>
  <c r="C322" l="1"/>
  <c r="B322" s="1"/>
  <c r="C321" l="1"/>
  <c r="B321" s="1"/>
  <c r="C320" l="1"/>
  <c r="B320" s="1"/>
  <c r="C319" l="1"/>
  <c r="B319" s="1"/>
  <c r="C318" l="1"/>
  <c r="B318" s="1"/>
  <c r="C317" l="1"/>
  <c r="B317" s="1"/>
  <c r="C316" l="1"/>
  <c r="B316" s="1"/>
  <c r="C315" l="1"/>
  <c r="B315" s="1"/>
  <c r="C314" l="1"/>
  <c r="B314" s="1"/>
  <c r="C313" l="1"/>
  <c r="B313" s="1"/>
  <c r="C312" l="1"/>
  <c r="B312" s="1"/>
  <c r="C311" l="1"/>
  <c r="B311" s="1"/>
  <c r="C310" l="1"/>
  <c r="B310" s="1"/>
  <c r="C309" l="1"/>
  <c r="B309" s="1"/>
  <c r="C308" l="1"/>
  <c r="B308" s="1"/>
  <c r="C307" l="1"/>
  <c r="B307" s="1"/>
  <c r="C306" l="1"/>
  <c r="B306" s="1"/>
  <c r="C305" l="1"/>
  <c r="B305" s="1"/>
  <c r="C304" l="1"/>
  <c r="B304" s="1"/>
  <c r="C303" l="1"/>
  <c r="B303" s="1"/>
  <c r="C302" l="1"/>
  <c r="B302" s="1"/>
  <c r="C301" l="1"/>
  <c r="B301" s="1"/>
  <c r="C300" l="1"/>
  <c r="B300" s="1"/>
  <c r="C299" l="1"/>
  <c r="B299" s="1"/>
  <c r="C298" l="1"/>
  <c r="B298" s="1"/>
  <c r="C297" l="1"/>
  <c r="B297" s="1"/>
  <c r="C296" l="1"/>
  <c r="B296" s="1"/>
  <c r="C295" l="1"/>
  <c r="B295" s="1"/>
  <c r="C294" l="1"/>
  <c r="B294" s="1"/>
  <c r="C293" l="1"/>
  <c r="B293" s="1"/>
  <c r="C292" l="1"/>
  <c r="B292" s="1"/>
  <c r="C291" l="1"/>
  <c r="B291" s="1"/>
  <c r="C290" l="1"/>
  <c r="B290" s="1"/>
  <c r="C289" l="1"/>
  <c r="B289" s="1"/>
  <c r="C288" l="1"/>
  <c r="B288" s="1"/>
  <c r="C287" l="1"/>
  <c r="B287" s="1"/>
  <c r="C286" l="1"/>
  <c r="B286" s="1"/>
  <c r="C285" l="1"/>
  <c r="B285" s="1"/>
  <c r="C284" l="1"/>
  <c r="B284" s="1"/>
  <c r="C283" l="1"/>
  <c r="B283" s="1"/>
  <c r="C282" l="1"/>
  <c r="B282" s="1"/>
  <c r="C281" l="1"/>
  <c r="B281" s="1"/>
  <c r="C280" l="1"/>
  <c r="B280" s="1"/>
  <c r="C279" l="1"/>
  <c r="B279" s="1"/>
  <c r="C278" l="1"/>
  <c r="B278" s="1"/>
  <c r="C277" l="1"/>
  <c r="B277" s="1"/>
  <c r="C276" l="1"/>
  <c r="B276" s="1"/>
  <c r="C275" l="1"/>
  <c r="B275" s="1"/>
  <c r="C274" l="1"/>
  <c r="B274" s="1"/>
  <c r="C273" l="1"/>
  <c r="B273" s="1"/>
  <c r="C272" l="1"/>
  <c r="B272" s="1"/>
  <c r="C271" l="1"/>
  <c r="B271" s="1"/>
  <c r="C270" l="1"/>
  <c r="B270" s="1"/>
  <c r="C269" l="1"/>
  <c r="B269" s="1"/>
  <c r="C268" l="1"/>
  <c r="B268" s="1"/>
  <c r="C267" l="1"/>
  <c r="B267" s="1"/>
  <c r="C266" l="1"/>
  <c r="B266" s="1"/>
  <c r="C265" l="1"/>
  <c r="B265" s="1"/>
  <c r="C264" l="1"/>
  <c r="B264" s="1"/>
  <c r="C263" l="1"/>
  <c r="B263" s="1"/>
  <c r="C262" l="1"/>
  <c r="B262" s="1"/>
  <c r="C261" l="1"/>
  <c r="B261" s="1"/>
  <c r="C260" l="1"/>
  <c r="B260" s="1"/>
  <c r="C259" l="1"/>
  <c r="B259" s="1"/>
  <c r="C258" l="1"/>
  <c r="B258" s="1"/>
  <c r="C257" l="1"/>
  <c r="B257" s="1"/>
  <c r="C256" l="1"/>
  <c r="B256" s="1"/>
  <c r="C255" l="1"/>
  <c r="B255" s="1"/>
  <c r="C254" l="1"/>
  <c r="B254" s="1"/>
  <c r="C253" l="1"/>
  <c r="B253" s="1"/>
  <c r="C252" l="1"/>
  <c r="B252" s="1"/>
  <c r="C251" l="1"/>
  <c r="B251" s="1"/>
  <c r="C250" l="1"/>
  <c r="B250" s="1"/>
  <c r="C249" l="1"/>
  <c r="B249" s="1"/>
  <c r="C248" l="1"/>
  <c r="B248" s="1"/>
  <c r="C247" l="1"/>
  <c r="B247" s="1"/>
  <c r="C246" l="1"/>
  <c r="B246" s="1"/>
  <c r="C245" l="1"/>
  <c r="B245" s="1"/>
  <c r="C244" l="1"/>
  <c r="B244" s="1"/>
  <c r="C243" l="1"/>
  <c r="B243" s="1"/>
  <c r="C242" l="1"/>
  <c r="B242" s="1"/>
  <c r="C241" l="1"/>
  <c r="B241" s="1"/>
  <c r="C240" l="1"/>
  <c r="B240" s="1"/>
  <c r="C239" l="1"/>
  <c r="B239" s="1"/>
  <c r="C238" l="1"/>
  <c r="B238" s="1"/>
  <c r="C237" l="1"/>
  <c r="B237" s="1"/>
  <c r="C236" l="1"/>
  <c r="B236" s="1"/>
  <c r="C235" l="1"/>
  <c r="B235" s="1"/>
  <c r="C234" l="1"/>
  <c r="B234" s="1"/>
  <c r="C233" l="1"/>
  <c r="B233" s="1"/>
  <c r="C232" l="1"/>
  <c r="B232" s="1"/>
  <c r="C231" l="1"/>
  <c r="B231" s="1"/>
  <c r="C230" l="1"/>
  <c r="B230" s="1"/>
  <c r="C229" l="1"/>
  <c r="B229" s="1"/>
  <c r="C228" l="1"/>
  <c r="B228" s="1"/>
  <c r="C227" l="1"/>
  <c r="B227" s="1"/>
  <c r="C226" l="1"/>
  <c r="B226" s="1"/>
  <c r="C225" l="1"/>
  <c r="B225" s="1"/>
  <c r="C224" l="1"/>
  <c r="B224" s="1"/>
  <c r="C223" l="1"/>
  <c r="B223" s="1"/>
  <c r="C222" l="1"/>
  <c r="B222" s="1"/>
  <c r="C221" l="1"/>
  <c r="B221" s="1"/>
  <c r="C220" l="1"/>
  <c r="B220" s="1"/>
  <c r="C219" l="1"/>
  <c r="B219" s="1"/>
  <c r="C218" l="1"/>
  <c r="B218" s="1"/>
  <c r="C217" l="1"/>
  <c r="B217" s="1"/>
  <c r="C216" l="1"/>
  <c r="B216" s="1"/>
  <c r="C215" l="1"/>
  <c r="B215" s="1"/>
  <c r="C214" l="1"/>
  <c r="B214" s="1"/>
  <c r="C213" l="1"/>
  <c r="B213" s="1"/>
  <c r="C212" l="1"/>
  <c r="B212" s="1"/>
  <c r="C211" l="1"/>
  <c r="B211" s="1"/>
  <c r="C210" l="1"/>
  <c r="B210" s="1"/>
  <c r="C209" l="1"/>
  <c r="B209" s="1"/>
  <c r="C208" l="1"/>
  <c r="B208" s="1"/>
  <c r="C207" l="1"/>
  <c r="B207" s="1"/>
  <c r="C206" l="1"/>
  <c r="B206" s="1"/>
  <c r="C205" l="1"/>
  <c r="B205" s="1"/>
  <c r="C204" l="1"/>
  <c r="B204" s="1"/>
  <c r="C203" l="1"/>
  <c r="B203" s="1"/>
  <c r="C202" l="1"/>
  <c r="B202" s="1"/>
  <c r="C201" l="1"/>
  <c r="B201" s="1"/>
  <c r="C200" l="1"/>
  <c r="B200" s="1"/>
  <c r="C199" l="1"/>
  <c r="B199" s="1"/>
  <c r="C198" l="1"/>
  <c r="B198" s="1"/>
  <c r="C197" l="1"/>
  <c r="B197" s="1"/>
  <c r="C196" l="1"/>
  <c r="B196" s="1"/>
  <c r="C195" l="1"/>
  <c r="B195" s="1"/>
  <c r="C194" l="1"/>
  <c r="B194" s="1"/>
  <c r="C193" l="1"/>
  <c r="B193" s="1"/>
  <c r="C192" l="1"/>
  <c r="B192" s="1"/>
  <c r="C191" l="1"/>
  <c r="B191" s="1"/>
  <c r="C190" l="1"/>
  <c r="B190" s="1"/>
  <c r="C189" l="1"/>
  <c r="B189" s="1"/>
  <c r="C188" l="1"/>
  <c r="B188" s="1"/>
  <c r="C187" l="1"/>
  <c r="B187" s="1"/>
  <c r="C186" l="1"/>
  <c r="B186" s="1"/>
  <c r="C185" l="1"/>
  <c r="B185" s="1"/>
  <c r="C184" l="1"/>
  <c r="B184" s="1"/>
  <c r="C183" l="1"/>
  <c r="B183" s="1"/>
  <c r="C182" l="1"/>
  <c r="B182" s="1"/>
  <c r="C181" l="1"/>
  <c r="B181" s="1"/>
  <c r="C180" l="1"/>
  <c r="B180" s="1"/>
  <c r="C179" l="1"/>
  <c r="B179" s="1"/>
  <c r="C178" l="1"/>
  <c r="B178" s="1"/>
  <c r="C177" l="1"/>
  <c r="B177" s="1"/>
  <c r="C176" l="1"/>
  <c r="B176" s="1"/>
  <c r="C175" l="1"/>
  <c r="B175" s="1"/>
  <c r="C174" l="1"/>
  <c r="B174" s="1"/>
  <c r="C173" l="1"/>
  <c r="B173" s="1"/>
  <c r="C172" l="1"/>
  <c r="B172" s="1"/>
  <c r="C171" l="1"/>
  <c r="B171" s="1"/>
  <c r="C170" l="1"/>
  <c r="B170" s="1"/>
  <c r="C169" l="1"/>
  <c r="B169" s="1"/>
  <c r="C168" l="1"/>
  <c r="B168" s="1"/>
  <c r="C167" l="1"/>
  <c r="B167" s="1"/>
  <c r="C166" l="1"/>
  <c r="B166" s="1"/>
  <c r="C165" l="1"/>
  <c r="B165" s="1"/>
  <c r="C164" l="1"/>
  <c r="B164" s="1"/>
  <c r="C163" l="1"/>
  <c r="B163" s="1"/>
  <c r="C162" l="1"/>
  <c r="B162" s="1"/>
  <c r="C161" l="1"/>
  <c r="B161" s="1"/>
  <c r="C160" l="1"/>
  <c r="B160" s="1"/>
  <c r="C159"/>
  <c r="B159" s="1"/>
  <c r="C158"/>
  <c r="B158" s="1"/>
  <c r="C157" l="1"/>
  <c r="B157" s="1"/>
  <c r="C156" l="1"/>
  <c r="B156" s="1"/>
  <c r="C155" l="1"/>
  <c r="B155" s="1"/>
  <c r="C154" l="1"/>
  <c r="B154" s="1"/>
  <c r="C153" l="1"/>
  <c r="B153" s="1"/>
  <c r="C152" l="1"/>
  <c r="B152" s="1"/>
  <c r="C151" l="1"/>
  <c r="B151" s="1"/>
  <c r="C150" l="1"/>
  <c r="B150" s="1"/>
  <c r="C149" l="1"/>
  <c r="B149" s="1"/>
  <c r="C148" l="1"/>
  <c r="B148" s="1"/>
  <c r="C147" l="1"/>
  <c r="B147" s="1"/>
  <c r="C146" l="1"/>
  <c r="B146" s="1"/>
  <c r="C145" l="1"/>
  <c r="B145" s="1"/>
  <c r="C144" l="1"/>
  <c r="B144" s="1"/>
  <c r="C143" l="1"/>
  <c r="B143" s="1"/>
  <c r="C142" l="1"/>
  <c r="B142" s="1"/>
  <c r="C141" l="1"/>
  <c r="B141" s="1"/>
  <c r="C140" l="1"/>
  <c r="B140" s="1"/>
  <c r="C139" l="1"/>
  <c r="B139" s="1"/>
  <c r="C138" l="1"/>
  <c r="B138" s="1"/>
  <c r="C137" l="1"/>
  <c r="B137" s="1"/>
  <c r="C136" l="1"/>
  <c r="B136" s="1"/>
  <c r="C135" l="1"/>
  <c r="B135" s="1"/>
  <c r="C134" l="1"/>
  <c r="B134" s="1"/>
  <c r="C133" l="1"/>
  <c r="B133" s="1"/>
  <c r="C132" l="1"/>
  <c r="B132" s="1"/>
  <c r="C131" l="1"/>
  <c r="B131" s="1"/>
  <c r="C130" l="1"/>
  <c r="B130" s="1"/>
  <c r="C129" l="1"/>
  <c r="B129" s="1"/>
  <c r="C128" l="1"/>
  <c r="B128" s="1"/>
  <c r="C127" l="1"/>
  <c r="B127" s="1"/>
  <c r="C126" l="1"/>
  <c r="B126" s="1"/>
  <c r="C125" l="1"/>
  <c r="B125" s="1"/>
  <c r="C124" l="1"/>
  <c r="B124" s="1"/>
  <c r="C123" l="1"/>
  <c r="B123" s="1"/>
  <c r="C122" l="1"/>
  <c r="B122" s="1"/>
  <c r="C121" l="1"/>
  <c r="B121" s="1"/>
  <c r="C120"/>
  <c r="B120" s="1"/>
  <c r="C119" l="1"/>
  <c r="B119" s="1"/>
  <c r="C118" l="1"/>
  <c r="B118" s="1"/>
  <c r="C117" l="1"/>
  <c r="B117" s="1"/>
  <c r="C116" l="1"/>
  <c r="B116" s="1"/>
  <c r="C115" l="1"/>
  <c r="B115" s="1"/>
  <c r="C114" l="1"/>
  <c r="B114" s="1"/>
  <c r="C113" l="1"/>
  <c r="B113" s="1"/>
  <c r="C112" l="1"/>
  <c r="B112" s="1"/>
  <c r="C111" l="1"/>
  <c r="B111" s="1"/>
  <c r="C110" l="1"/>
  <c r="B110" s="1"/>
  <c r="C109" l="1"/>
  <c r="B109" s="1"/>
  <c r="C108" l="1"/>
  <c r="B108" s="1"/>
  <c r="C107" l="1"/>
  <c r="B107" s="1"/>
  <c r="C106" l="1"/>
  <c r="B106" s="1"/>
  <c r="R105" l="1"/>
  <c r="C105" l="1"/>
  <c r="B105" s="1"/>
  <c r="C104" l="1"/>
  <c r="B104" s="1"/>
  <c r="C103" l="1"/>
  <c r="B103" s="1"/>
  <c r="C102" l="1"/>
  <c r="B102" s="1"/>
  <c r="C101" l="1"/>
  <c r="B101" s="1"/>
  <c r="C100" l="1"/>
  <c r="B100" s="1"/>
  <c r="C99" l="1"/>
  <c r="B99" s="1"/>
  <c r="C98" l="1"/>
  <c r="B98" s="1"/>
  <c r="C97" l="1"/>
  <c r="B97" s="1"/>
  <c r="C96" l="1"/>
  <c r="B96" s="1"/>
  <c r="C95" l="1"/>
  <c r="B95" s="1"/>
  <c r="C94" l="1"/>
  <c r="B94" s="1"/>
  <c r="C93" l="1"/>
  <c r="B93" s="1"/>
  <c r="C92" l="1"/>
  <c r="B92" s="1"/>
  <c r="C91" l="1"/>
  <c r="B91" s="1"/>
  <c r="C90" l="1"/>
  <c r="B90" s="1"/>
  <c r="C89" l="1"/>
  <c r="B89" s="1"/>
  <c r="C88" l="1"/>
  <c r="B88" s="1"/>
  <c r="C87" l="1"/>
  <c r="B87" s="1"/>
  <c r="C86" l="1"/>
  <c r="B86" s="1"/>
  <c r="C85" l="1"/>
  <c r="B85" s="1"/>
  <c r="C84" l="1"/>
  <c r="B84" s="1"/>
  <c r="C83" l="1"/>
  <c r="B83" s="1"/>
  <c r="C82" l="1"/>
  <c r="B82" s="1"/>
  <c r="C81" l="1"/>
  <c r="B81" s="1"/>
  <c r="C80" l="1"/>
  <c r="B80" s="1"/>
  <c r="C79" l="1"/>
  <c r="B79" s="1"/>
  <c r="C78" l="1"/>
  <c r="B78" s="1"/>
  <c r="C77" l="1"/>
  <c r="B77" s="1"/>
  <c r="C76" l="1"/>
  <c r="B76" s="1"/>
  <c r="C75" l="1"/>
  <c r="B75" s="1"/>
  <c r="C74" l="1"/>
  <c r="B74" s="1"/>
  <c r="C73" l="1"/>
  <c r="B73" s="1"/>
  <c r="C72" l="1"/>
  <c r="B72" s="1"/>
  <c r="C71" l="1"/>
  <c r="B71" s="1"/>
  <c r="C70" l="1"/>
  <c r="B70" s="1"/>
  <c r="C69" l="1"/>
  <c r="B69" s="1"/>
  <c r="C68" l="1"/>
  <c r="B68" s="1"/>
  <c r="C67" l="1"/>
  <c r="B67" s="1"/>
  <c r="C66" l="1"/>
  <c r="B66" s="1"/>
  <c r="C65" l="1"/>
  <c r="B65" s="1"/>
  <c r="C64" l="1"/>
  <c r="B64" s="1"/>
  <c r="C63" l="1"/>
  <c r="B63" s="1"/>
  <c r="C62" l="1"/>
  <c r="B62" s="1"/>
  <c r="C61" l="1"/>
  <c r="B61" s="1"/>
  <c r="C60" l="1"/>
  <c r="B60" s="1"/>
  <c r="C59" l="1"/>
  <c r="B59" s="1"/>
  <c r="C58" l="1"/>
  <c r="B58" s="1"/>
  <c r="C57" l="1"/>
  <c r="B57" s="1"/>
  <c r="C56" l="1"/>
  <c r="B56" s="1"/>
  <c r="C55" l="1"/>
  <c r="B55" s="1"/>
  <c r="C54" l="1"/>
  <c r="B54" s="1"/>
  <c r="C53" l="1"/>
  <c r="B53" s="1"/>
  <c r="C52" l="1"/>
  <c r="B52" s="1"/>
  <c r="C51" l="1"/>
  <c r="B51" s="1"/>
  <c r="C50" l="1"/>
  <c r="B50" s="1"/>
  <c r="C49" l="1"/>
  <c r="B49" s="1"/>
  <c r="C48" l="1"/>
  <c r="B48" s="1"/>
  <c r="C47" l="1"/>
  <c r="B47" s="1"/>
  <c r="C46" l="1"/>
  <c r="B46" s="1"/>
  <c r="C45" l="1"/>
  <c r="B45" s="1"/>
  <c r="C44" l="1"/>
  <c r="B44" s="1"/>
  <c r="C43" l="1"/>
  <c r="B43" s="1"/>
  <c r="C42" l="1"/>
  <c r="B42" s="1"/>
  <c r="C41" l="1"/>
  <c r="B41" s="1"/>
  <c r="C40" l="1"/>
  <c r="B40" s="1"/>
  <c r="C39" l="1"/>
  <c r="B39" s="1"/>
  <c r="C38" l="1"/>
  <c r="B38" s="1"/>
  <c r="C37" l="1"/>
  <c r="B37" s="1"/>
  <c r="K42" i="33"/>
  <c r="J42"/>
  <c r="I42"/>
  <c r="H42"/>
  <c r="E42"/>
  <c r="D42"/>
  <c r="C36" i="23" l="1"/>
  <c r="B36" s="1"/>
  <c r="K41" i="33"/>
  <c r="J41"/>
  <c r="I41"/>
  <c r="H41"/>
  <c r="E41"/>
  <c r="D41"/>
  <c r="C35" i="23" l="1"/>
  <c r="B35" s="1"/>
  <c r="K40" i="33"/>
  <c r="K88" s="1"/>
  <c r="J40"/>
  <c r="J88" s="1"/>
  <c r="I40"/>
  <c r="I88" s="1"/>
  <c r="H40"/>
  <c r="H88" s="1"/>
  <c r="E40"/>
  <c r="E88" s="1"/>
  <c r="D40"/>
  <c r="D88" s="1"/>
  <c r="C34" i="23" l="1"/>
  <c r="B34" s="1"/>
  <c r="K39" i="33"/>
  <c r="J39"/>
  <c r="I39"/>
  <c r="H39"/>
  <c r="E39"/>
  <c r="D39"/>
  <c r="C33" i="23" l="1"/>
  <c r="B33" s="1"/>
  <c r="K38" i="33"/>
  <c r="J38"/>
  <c r="I38"/>
  <c r="H38"/>
  <c r="E38"/>
  <c r="D38"/>
  <c r="C32" i="23" l="1"/>
  <c r="B32" s="1"/>
  <c r="K37" i="33"/>
  <c r="J37"/>
  <c r="I37"/>
  <c r="H37"/>
  <c r="E37"/>
  <c r="D37"/>
  <c r="C31" i="23" l="1"/>
  <c r="B31" s="1"/>
  <c r="K36" i="33"/>
  <c r="J36"/>
  <c r="I36"/>
  <c r="H36"/>
  <c r="E36"/>
  <c r="D36"/>
  <c r="C30" i="23" l="1"/>
  <c r="B30" s="1"/>
  <c r="K35" i="33"/>
  <c r="J35"/>
  <c r="I35"/>
  <c r="H35"/>
  <c r="E35"/>
  <c r="D35"/>
  <c r="C29" i="23" l="1"/>
  <c r="B29" s="1"/>
  <c r="K34" i="33"/>
  <c r="J34"/>
  <c r="I34"/>
  <c r="H34"/>
  <c r="E34"/>
  <c r="D34"/>
  <c r="C28" i="23" l="1"/>
  <c r="B28" s="1"/>
  <c r="K33" i="33"/>
  <c r="K87" s="1"/>
  <c r="J33"/>
  <c r="J87" s="1"/>
  <c r="I33"/>
  <c r="I87" s="1"/>
  <c r="H33"/>
  <c r="H87" s="1"/>
  <c r="E33"/>
  <c r="E87" s="1"/>
  <c r="D33"/>
  <c r="D87" s="1"/>
  <c r="C27" i="23" l="1"/>
  <c r="B27" s="1"/>
  <c r="K32" i="33"/>
  <c r="J32"/>
  <c r="I32"/>
  <c r="H32"/>
  <c r="E32"/>
  <c r="D32"/>
  <c r="C26" i="23" l="1"/>
  <c r="B26" s="1"/>
  <c r="K31" i="33"/>
  <c r="J31"/>
  <c r="I31"/>
  <c r="H31"/>
  <c r="E31"/>
  <c r="D31"/>
  <c r="C25" i="23" l="1"/>
  <c r="B25" s="1"/>
  <c r="I30" i="33"/>
  <c r="H30"/>
  <c r="E30"/>
  <c r="D30"/>
  <c r="J30" l="1"/>
  <c r="K30"/>
  <c r="C24" i="23"/>
  <c r="B24" s="1"/>
  <c r="K29" i="33"/>
  <c r="J29"/>
  <c r="I29"/>
  <c r="H29"/>
  <c r="E29"/>
  <c r="D29"/>
  <c r="C23" i="23" l="1"/>
  <c r="B23" s="1"/>
  <c r="K28" i="33"/>
  <c r="J28"/>
  <c r="I28"/>
  <c r="H28"/>
  <c r="E28"/>
  <c r="D28"/>
  <c r="C22" i="23" l="1"/>
  <c r="B22" s="1"/>
  <c r="K27" i="33"/>
  <c r="J27"/>
  <c r="I27"/>
  <c r="H27"/>
  <c r="E27"/>
  <c r="D27"/>
  <c r="C21" i="23" l="1"/>
  <c r="B21" s="1"/>
  <c r="K26" i="33"/>
  <c r="K86" s="1"/>
  <c r="J26"/>
  <c r="J86" s="1"/>
  <c r="I26"/>
  <c r="I86" s="1"/>
  <c r="H26"/>
  <c r="H86" s="1"/>
  <c r="E26"/>
  <c r="E86" s="1"/>
  <c r="D26"/>
  <c r="D86" s="1"/>
  <c r="C20" i="23" l="1"/>
  <c r="B20" s="1"/>
  <c r="K25" i="33"/>
  <c r="J25"/>
  <c r="I25"/>
  <c r="H25"/>
  <c r="E25"/>
  <c r="D25"/>
  <c r="C19" i="23" l="1"/>
  <c r="B19" s="1"/>
  <c r="K24" i="33"/>
  <c r="J24"/>
  <c r="I24"/>
  <c r="H24"/>
  <c r="E24"/>
  <c r="D24"/>
  <c r="C18" i="23" l="1"/>
  <c r="B18" s="1"/>
  <c r="K23" i="33"/>
  <c r="J23"/>
  <c r="I23"/>
  <c r="H23"/>
  <c r="E23"/>
  <c r="D23"/>
  <c r="C17" i="23" l="1"/>
  <c r="B17" s="1"/>
  <c r="K22" i="33"/>
  <c r="J22"/>
  <c r="I22"/>
  <c r="H22"/>
  <c r="E22"/>
  <c r="D22"/>
  <c r="C16" i="23" l="1"/>
  <c r="B16" s="1"/>
  <c r="K21" i="33"/>
  <c r="J21"/>
  <c r="I21"/>
  <c r="H21"/>
  <c r="E21"/>
  <c r="D21"/>
  <c r="C15" i="23" l="1"/>
  <c r="B15" s="1"/>
  <c r="K20" i="33"/>
  <c r="J20"/>
  <c r="I20"/>
  <c r="H20"/>
  <c r="E20"/>
  <c r="D20"/>
  <c r="C14" i="23" l="1"/>
  <c r="B14" s="1"/>
  <c r="K19" i="33"/>
  <c r="K85" s="1"/>
  <c r="J19"/>
  <c r="J85" s="1"/>
  <c r="I19"/>
  <c r="I85" s="1"/>
  <c r="H19"/>
  <c r="H85" s="1"/>
  <c r="E19"/>
  <c r="E85" s="1"/>
  <c r="D19"/>
  <c r="D85" s="1"/>
  <c r="C13" i="23" l="1"/>
  <c r="B13" s="1"/>
  <c r="K12"/>
  <c r="J12"/>
  <c r="I12"/>
  <c r="H12"/>
  <c r="E12"/>
  <c r="D12"/>
  <c r="D68" i="33" l="1"/>
  <c r="H68"/>
  <c r="J68"/>
  <c r="E68"/>
  <c r="I68"/>
  <c r="K68"/>
  <c r="D18"/>
  <c r="H18"/>
  <c r="J18"/>
  <c r="E18"/>
  <c r="I18"/>
  <c r="K18"/>
  <c r="C12" i="23"/>
  <c r="B12" s="1"/>
  <c r="K11"/>
  <c r="J11"/>
  <c r="I11"/>
  <c r="H11"/>
  <c r="H67" i="33" l="1"/>
  <c r="J67"/>
  <c r="I67"/>
  <c r="K67"/>
  <c r="H17"/>
  <c r="J17"/>
  <c r="I17"/>
  <c r="K17"/>
  <c r="C11" i="23"/>
  <c r="B11" s="1"/>
  <c r="K10"/>
  <c r="J10"/>
  <c r="I10"/>
  <c r="H10"/>
  <c r="E10"/>
  <c r="D10"/>
  <c r="D66" i="33" l="1"/>
  <c r="H66"/>
  <c r="J66"/>
  <c r="E66"/>
  <c r="I66"/>
  <c r="K66"/>
  <c r="H16"/>
  <c r="J16"/>
  <c r="I16"/>
  <c r="K16"/>
  <c r="C10" i="23"/>
  <c r="B10" s="1"/>
  <c r="K9"/>
  <c r="J9"/>
  <c r="I9"/>
  <c r="H9"/>
  <c r="H65" i="33" l="1"/>
  <c r="J65"/>
  <c r="I65"/>
  <c r="K65"/>
  <c r="J15"/>
  <c r="H15"/>
  <c r="I15"/>
  <c r="K15"/>
  <c r="C9" i="23"/>
  <c r="B9" s="1"/>
  <c r="K8"/>
  <c r="J8"/>
  <c r="I8"/>
  <c r="H8"/>
  <c r="H64" i="33" l="1"/>
  <c r="J64"/>
  <c r="I64"/>
  <c r="K64"/>
  <c r="J14"/>
  <c r="H14"/>
  <c r="I14"/>
  <c r="K14"/>
  <c r="C8" i="23"/>
  <c r="B8" l="1"/>
  <c r="K7"/>
  <c r="J7"/>
  <c r="I7"/>
  <c r="H7"/>
  <c r="C7"/>
  <c r="H63" i="33" l="1"/>
  <c r="J63"/>
  <c r="I63"/>
  <c r="K63"/>
  <c r="H13"/>
  <c r="J13"/>
  <c r="I13"/>
  <c r="K13"/>
  <c r="K6" i="23"/>
  <c r="J6"/>
  <c r="I6"/>
  <c r="I104" i="33" s="1"/>
  <c r="H6" i="23"/>
  <c r="E6"/>
  <c r="D6"/>
  <c r="M36" i="25"/>
  <c r="L36"/>
  <c r="D36"/>
  <c r="B36"/>
  <c r="M35"/>
  <c r="L35"/>
  <c r="D35"/>
  <c r="B35"/>
  <c r="M34"/>
  <c r="L34"/>
  <c r="H104" i="33" l="1"/>
  <c r="J104"/>
  <c r="K104"/>
  <c r="E62"/>
  <c r="I62"/>
  <c r="I70" s="1"/>
  <c r="K62"/>
  <c r="K70" s="1"/>
  <c r="D62"/>
  <c r="H62"/>
  <c r="J62"/>
  <c r="G18" i="22"/>
  <c r="K12" i="33"/>
  <c r="I17" i="22"/>
  <c r="J12" i="33"/>
  <c r="I13" i="22"/>
  <c r="I12" i="33"/>
  <c r="I12" i="22"/>
  <c r="H12" i="33"/>
  <c r="G13" i="22"/>
  <c r="G12"/>
  <c r="G17"/>
  <c r="I18"/>
  <c r="K371" i="23"/>
  <c r="J371" s="1"/>
  <c r="I371" s="1"/>
  <c r="H371" s="1"/>
  <c r="D34" i="25"/>
  <c r="B34"/>
  <c r="M33"/>
  <c r="L33"/>
  <c r="D33"/>
  <c r="B33"/>
  <c r="M32"/>
  <c r="L32"/>
  <c r="K44" i="33" l="1"/>
  <c r="K84"/>
  <c r="J44"/>
  <c r="J46" s="1"/>
  <c r="J84"/>
  <c r="I44"/>
  <c r="I84"/>
  <c r="H44"/>
  <c r="H45" s="1"/>
  <c r="H46" s="1"/>
  <c r="H84"/>
  <c r="J45"/>
  <c r="I19" i="22"/>
  <c r="G14"/>
  <c r="F34" i="25"/>
  <c r="G19" i="22"/>
  <c r="D32" i="25"/>
  <c r="B32"/>
  <c r="F33" s="1"/>
  <c r="M31"/>
  <c r="L31"/>
  <c r="D31"/>
  <c r="B31"/>
  <c r="M30"/>
  <c r="L30"/>
  <c r="D30"/>
  <c r="B30"/>
  <c r="M29"/>
  <c r="L29"/>
  <c r="D29"/>
  <c r="B29"/>
  <c r="M28"/>
  <c r="L28"/>
  <c r="D28"/>
  <c r="B28"/>
  <c r="M27"/>
  <c r="L27"/>
  <c r="D27"/>
  <c r="B27"/>
  <c r="M26"/>
  <c r="L26"/>
  <c r="D26"/>
  <c r="B26"/>
  <c r="M25"/>
  <c r="L25"/>
  <c r="D25"/>
  <c r="B25"/>
  <c r="M24"/>
  <c r="L24"/>
  <c r="D24"/>
  <c r="B24"/>
  <c r="M23"/>
  <c r="L23"/>
  <c r="D23"/>
  <c r="B23"/>
  <c r="M22"/>
  <c r="L22"/>
  <c r="D22"/>
  <c r="B22"/>
  <c r="M21"/>
  <c r="L21"/>
  <c r="D21"/>
  <c r="B21"/>
  <c r="M20"/>
  <c r="L20"/>
  <c r="D20"/>
  <c r="B20"/>
  <c r="M19"/>
  <c r="L19"/>
  <c r="D19"/>
  <c r="B19"/>
  <c r="M18"/>
  <c r="L18"/>
  <c r="D18"/>
  <c r="B18"/>
  <c r="M17"/>
  <c r="L17"/>
  <c r="D17"/>
  <c r="B17"/>
  <c r="M16"/>
  <c r="L16"/>
  <c r="D16"/>
  <c r="B16"/>
  <c r="M15"/>
  <c r="L15"/>
  <c r="D15"/>
  <c r="B15"/>
  <c r="M14"/>
  <c r="L14"/>
  <c r="D14"/>
  <c r="B14"/>
  <c r="M13"/>
  <c r="L13"/>
  <c r="D13"/>
  <c r="B13"/>
  <c r="M12"/>
  <c r="L12"/>
  <c r="D12"/>
  <c r="B12"/>
  <c r="M11"/>
  <c r="L11"/>
  <c r="D11"/>
  <c r="B11"/>
  <c r="M10"/>
  <c r="L10"/>
  <c r="D10"/>
  <c r="B10"/>
  <c r="M9"/>
  <c r="L9"/>
  <c r="D9"/>
  <c r="B9"/>
  <c r="M8"/>
  <c r="L8"/>
  <c r="D8"/>
  <c r="B8"/>
  <c r="M7"/>
  <c r="L7"/>
  <c r="D7"/>
  <c r="B7"/>
  <c r="M6"/>
  <c r="L6"/>
  <c r="D6"/>
  <c r="B6"/>
  <c r="M5"/>
  <c r="L5"/>
  <c r="D5"/>
  <c r="B5"/>
  <c r="M4"/>
  <c r="L4"/>
  <c r="D4"/>
  <c r="B4"/>
  <c r="M3"/>
  <c r="L3"/>
  <c r="D3"/>
  <c r="D15" i="32" s="1" a="1"/>
  <c r="D15" s="1"/>
  <c r="B3" i="25"/>
  <c r="C674" s="1"/>
  <c r="C673" l="1"/>
  <c r="C672"/>
  <c r="C667"/>
  <c r="C669"/>
  <c r="C671"/>
  <c r="C668"/>
  <c r="C670"/>
  <c r="C666"/>
  <c r="C665"/>
  <c r="C664"/>
  <c r="C663"/>
  <c r="C662"/>
  <c r="C659"/>
  <c r="C661"/>
  <c r="C658"/>
  <c r="C660"/>
  <c r="C657"/>
  <c r="C656"/>
  <c r="C655"/>
  <c r="C654"/>
  <c r="C653"/>
  <c r="C652"/>
  <c r="C651"/>
  <c r="C648"/>
  <c r="C650"/>
  <c r="C649"/>
  <c r="C645"/>
  <c r="C647"/>
  <c r="C644"/>
  <c r="C646"/>
  <c r="C642"/>
  <c r="C643"/>
  <c r="C641"/>
  <c r="C638"/>
  <c r="C640"/>
  <c r="C639"/>
  <c r="C635"/>
  <c r="C637"/>
  <c r="C636"/>
  <c r="C633"/>
  <c r="C632"/>
  <c r="C634"/>
  <c r="C631"/>
  <c r="C628"/>
  <c r="C630"/>
  <c r="C629"/>
  <c r="C627"/>
  <c r="C626"/>
  <c r="C624"/>
  <c r="C625"/>
  <c r="C618"/>
  <c r="C620"/>
  <c r="C622"/>
  <c r="C617"/>
  <c r="C619"/>
  <c r="C621"/>
  <c r="C623"/>
  <c r="C614"/>
  <c r="C616"/>
  <c r="C613"/>
  <c r="C615"/>
  <c r="C608"/>
  <c r="C610"/>
  <c r="C612"/>
  <c r="C609"/>
  <c r="C611"/>
  <c r="C605"/>
  <c r="C607"/>
  <c r="C604"/>
  <c r="C606"/>
  <c r="C601"/>
  <c r="C603"/>
  <c r="C600"/>
  <c r="C602"/>
  <c r="C595"/>
  <c r="C597"/>
  <c r="C599"/>
  <c r="C598"/>
  <c r="C596"/>
  <c r="C594"/>
  <c r="C593"/>
  <c r="C592"/>
  <c r="C591"/>
  <c r="C586"/>
  <c r="C588"/>
  <c r="C587"/>
  <c r="C590"/>
  <c r="C589"/>
  <c r="C579"/>
  <c r="C581"/>
  <c r="C583"/>
  <c r="C585"/>
  <c r="C578"/>
  <c r="C580"/>
  <c r="C582"/>
  <c r="C584"/>
  <c r="C575"/>
  <c r="C577"/>
  <c r="C574"/>
  <c r="C576"/>
  <c r="C571"/>
  <c r="C573"/>
  <c r="C570"/>
  <c r="C572"/>
  <c r="C569"/>
  <c r="C567"/>
  <c r="C568"/>
  <c r="C566"/>
  <c r="C563"/>
  <c r="C565"/>
  <c r="C562"/>
  <c r="C564"/>
  <c r="C561"/>
  <c r="C560"/>
  <c r="C559"/>
  <c r="C556"/>
  <c r="C558"/>
  <c r="C555"/>
  <c r="C557"/>
  <c r="C552"/>
  <c r="C554"/>
  <c r="C553"/>
  <c r="C550"/>
  <c r="C548"/>
  <c r="C549"/>
  <c r="C551"/>
  <c r="C545"/>
  <c r="C547"/>
  <c r="C544"/>
  <c r="C546"/>
  <c r="C543"/>
  <c r="C542"/>
  <c r="C539"/>
  <c r="C541"/>
  <c r="C538"/>
  <c r="C540"/>
  <c r="C537"/>
  <c r="C536"/>
  <c r="C533"/>
  <c r="C535"/>
  <c r="C532"/>
  <c r="C534"/>
  <c r="D12" i="32" a="1"/>
  <c r="D14" a="1"/>
  <c r="D11" a="1"/>
  <c r="D13" a="1"/>
  <c r="D13" s="1"/>
  <c r="C523" i="25"/>
  <c r="C525"/>
  <c r="C527"/>
  <c r="C529"/>
  <c r="C531"/>
  <c r="C522"/>
  <c r="C524"/>
  <c r="C526"/>
  <c r="C528"/>
  <c r="C530"/>
  <c r="C519"/>
  <c r="C521"/>
  <c r="C518"/>
  <c r="C520"/>
  <c r="C515"/>
  <c r="C517"/>
  <c r="C516"/>
  <c r="C512"/>
  <c r="C514"/>
  <c r="C511"/>
  <c r="C513"/>
  <c r="C508"/>
  <c r="C510"/>
  <c r="C509"/>
  <c r="C502"/>
  <c r="C503"/>
  <c r="C505"/>
  <c r="C507"/>
  <c r="C506"/>
  <c r="C504"/>
  <c r="C499"/>
  <c r="C501"/>
  <c r="C498"/>
  <c r="C500"/>
  <c r="C493"/>
  <c r="C495"/>
  <c r="C497"/>
  <c r="C494"/>
  <c r="C496"/>
  <c r="C490"/>
  <c r="C492"/>
  <c r="C489"/>
  <c r="C491"/>
  <c r="C482"/>
  <c r="C484"/>
  <c r="C486"/>
  <c r="C488"/>
  <c r="C481"/>
  <c r="C483"/>
  <c r="C485"/>
  <c r="C487"/>
  <c r="C478"/>
  <c r="C480"/>
  <c r="C477"/>
  <c r="C479"/>
  <c r="C476"/>
  <c r="C475"/>
  <c r="C471"/>
  <c r="C473"/>
  <c r="C474"/>
  <c r="C472"/>
  <c r="C467"/>
  <c r="C469"/>
  <c r="C466"/>
  <c r="C468"/>
  <c r="C470"/>
  <c r="C461"/>
  <c r="C463"/>
  <c r="C465"/>
  <c r="C464"/>
  <c r="C462"/>
  <c r="C460"/>
  <c r="C457"/>
  <c r="C459"/>
  <c r="C458"/>
  <c r="C454"/>
  <c r="C456"/>
  <c r="C453"/>
  <c r="C455"/>
  <c r="C444"/>
  <c r="C446"/>
  <c r="C448"/>
  <c r="C450"/>
  <c r="C452"/>
  <c r="C451"/>
  <c r="C447"/>
  <c r="C449"/>
  <c r="C445"/>
  <c r="C439"/>
  <c r="C441"/>
  <c r="C443"/>
  <c r="C442"/>
  <c r="C440"/>
  <c r="C438"/>
  <c r="C435"/>
  <c r="C437"/>
  <c r="C436"/>
  <c r="C432"/>
  <c r="C434"/>
  <c r="C433"/>
  <c r="C429"/>
  <c r="C431"/>
  <c r="C428"/>
  <c r="C430"/>
  <c r="C427"/>
  <c r="C420"/>
  <c r="C422"/>
  <c r="C424"/>
  <c r="C426"/>
  <c r="C419"/>
  <c r="C421"/>
  <c r="C423"/>
  <c r="C425"/>
  <c r="C417"/>
  <c r="C418"/>
  <c r="C416"/>
  <c r="C411"/>
  <c r="C413"/>
  <c r="C415"/>
  <c r="C414"/>
  <c r="C412"/>
  <c r="C402"/>
  <c r="C404"/>
  <c r="C406"/>
  <c r="C408"/>
  <c r="C410"/>
  <c r="C401"/>
  <c r="C403"/>
  <c r="C405"/>
  <c r="C407"/>
  <c r="C409"/>
  <c r="C398"/>
  <c r="C400"/>
  <c r="C397"/>
  <c r="C399"/>
  <c r="C386"/>
  <c r="C388"/>
  <c r="C390"/>
  <c r="C392"/>
  <c r="C394"/>
  <c r="C396"/>
  <c r="C387"/>
  <c r="C389"/>
  <c r="C391"/>
  <c r="C393"/>
  <c r="C395"/>
  <c r="C383"/>
  <c r="C385"/>
  <c r="C382"/>
  <c r="C384"/>
  <c r="C363"/>
  <c r="C365"/>
  <c r="C367"/>
  <c r="C369"/>
  <c r="C371"/>
  <c r="C373"/>
  <c r="C375"/>
  <c r="C377"/>
  <c r="C379"/>
  <c r="C381"/>
  <c r="C364"/>
  <c r="C366"/>
  <c r="C368"/>
  <c r="F368" s="1"/>
  <c r="C370"/>
  <c r="C372"/>
  <c r="C374"/>
  <c r="C376"/>
  <c r="C378"/>
  <c r="C380"/>
  <c r="C358"/>
  <c r="C360"/>
  <c r="C362"/>
  <c r="C359"/>
  <c r="C361"/>
  <c r="C351"/>
  <c r="C353"/>
  <c r="C355"/>
  <c r="C357"/>
  <c r="C352"/>
  <c r="C354"/>
  <c r="C356"/>
  <c r="C348"/>
  <c r="C350"/>
  <c r="C347"/>
  <c r="C349"/>
  <c r="C340"/>
  <c r="C342"/>
  <c r="C344"/>
  <c r="C346"/>
  <c r="C345"/>
  <c r="C341"/>
  <c r="C343"/>
  <c r="C339"/>
  <c r="C338"/>
  <c r="C337"/>
  <c r="C330"/>
  <c r="C332"/>
  <c r="C334"/>
  <c r="C336"/>
  <c r="C333"/>
  <c r="C335"/>
  <c r="C331"/>
  <c r="C329"/>
  <c r="C324"/>
  <c r="C326"/>
  <c r="C328"/>
  <c r="C325"/>
  <c r="C327"/>
  <c r="C323"/>
  <c r="C322"/>
  <c r="C315"/>
  <c r="C317"/>
  <c r="C319"/>
  <c r="C321"/>
  <c r="C318"/>
  <c r="C320"/>
  <c r="C316"/>
  <c r="C314"/>
  <c r="C313"/>
  <c r="C310"/>
  <c r="C312"/>
  <c r="C311"/>
  <c r="C303"/>
  <c r="C305"/>
  <c r="C307"/>
  <c r="C309"/>
  <c r="C302"/>
  <c r="C304"/>
  <c r="C306"/>
  <c r="C308"/>
  <c r="C297"/>
  <c r="C299"/>
  <c r="C301"/>
  <c r="C300"/>
  <c r="C298"/>
  <c r="C288"/>
  <c r="C290"/>
  <c r="C292"/>
  <c r="C294"/>
  <c r="C296"/>
  <c r="C287"/>
  <c r="C289"/>
  <c r="F289" s="1"/>
  <c r="C291"/>
  <c r="C293"/>
  <c r="C295"/>
  <c r="C284"/>
  <c r="C286"/>
  <c r="C283"/>
  <c r="C285"/>
  <c r="C264"/>
  <c r="C266"/>
  <c r="C268"/>
  <c r="C270"/>
  <c r="C272"/>
  <c r="C274"/>
  <c r="C276"/>
  <c r="C278"/>
  <c r="C280"/>
  <c r="C282"/>
  <c r="C265"/>
  <c r="C267"/>
  <c r="C269"/>
  <c r="C271"/>
  <c r="C273"/>
  <c r="C275"/>
  <c r="C277"/>
  <c r="C279"/>
  <c r="C281"/>
  <c r="C260"/>
  <c r="C262"/>
  <c r="C263"/>
  <c r="C261"/>
  <c r="C259"/>
  <c r="C258"/>
  <c r="C257"/>
  <c r="C254"/>
  <c r="C256"/>
  <c r="C255"/>
  <c r="C253"/>
  <c r="C252"/>
  <c r="C251"/>
  <c r="C250"/>
  <c r="C249"/>
  <c r="C231"/>
  <c r="C232"/>
  <c r="C234"/>
  <c r="C236"/>
  <c r="F236" s="1"/>
  <c r="C238"/>
  <c r="C240"/>
  <c r="C242"/>
  <c r="C244"/>
  <c r="C246"/>
  <c r="C248"/>
  <c r="C233"/>
  <c r="C235"/>
  <c r="C237"/>
  <c r="C239"/>
  <c r="C241"/>
  <c r="C243"/>
  <c r="C245"/>
  <c r="C247"/>
  <c r="C226"/>
  <c r="C228"/>
  <c r="C230"/>
  <c r="C227"/>
  <c r="C229"/>
  <c r="C203"/>
  <c r="C205"/>
  <c r="C207"/>
  <c r="C209"/>
  <c r="C211"/>
  <c r="C213"/>
  <c r="C215"/>
  <c r="C217"/>
  <c r="C219"/>
  <c r="C221"/>
  <c r="C223"/>
  <c r="C225"/>
  <c r="C204"/>
  <c r="C206"/>
  <c r="C208"/>
  <c r="C210"/>
  <c r="C212"/>
  <c r="C214"/>
  <c r="C216"/>
  <c r="C218"/>
  <c r="C220"/>
  <c r="C222"/>
  <c r="C224"/>
  <c r="C199"/>
  <c r="C201"/>
  <c r="C202"/>
  <c r="C198"/>
  <c r="C200"/>
  <c r="C193"/>
  <c r="C195"/>
  <c r="C197"/>
  <c r="C192"/>
  <c r="C194"/>
  <c r="C196"/>
  <c r="C189"/>
  <c r="C191"/>
  <c r="C190"/>
  <c r="C188"/>
  <c r="C187"/>
  <c r="C182"/>
  <c r="C184"/>
  <c r="C186"/>
  <c r="C183"/>
  <c r="C185"/>
  <c r="C181"/>
  <c r="C169"/>
  <c r="C170"/>
  <c r="C172"/>
  <c r="C174"/>
  <c r="C176"/>
  <c r="C178"/>
  <c r="C180"/>
  <c r="F180" s="1"/>
  <c r="C179"/>
  <c r="C175"/>
  <c r="C171"/>
  <c r="C177"/>
  <c r="C173"/>
  <c r="C165"/>
  <c r="C167"/>
  <c r="C166"/>
  <c r="C168"/>
  <c r="C164"/>
  <c r="C143"/>
  <c r="C145"/>
  <c r="C147"/>
  <c r="C149"/>
  <c r="C151"/>
  <c r="C154"/>
  <c r="C156"/>
  <c r="C158"/>
  <c r="C160"/>
  <c r="C162"/>
  <c r="C152"/>
  <c r="C144"/>
  <c r="C146"/>
  <c r="C148"/>
  <c r="C150"/>
  <c r="C153"/>
  <c r="C155"/>
  <c r="C157"/>
  <c r="C159"/>
  <c r="C161"/>
  <c r="C163"/>
  <c r="C141"/>
  <c r="C142"/>
  <c r="C140"/>
  <c r="C136"/>
  <c r="C137"/>
  <c r="C139"/>
  <c r="C138"/>
  <c r="C135"/>
  <c r="C132"/>
  <c r="C134"/>
  <c r="C131"/>
  <c r="C133"/>
  <c r="C129"/>
  <c r="C130"/>
  <c r="C124"/>
  <c r="C126"/>
  <c r="C128"/>
  <c r="C125"/>
  <c r="C127"/>
  <c r="C123"/>
  <c r="C114"/>
  <c r="C116"/>
  <c r="C118"/>
  <c r="C120"/>
  <c r="C122"/>
  <c r="C113"/>
  <c r="C115"/>
  <c r="C117"/>
  <c r="C119"/>
  <c r="C121"/>
  <c r="F121" s="1"/>
  <c r="C112"/>
  <c r="C111"/>
  <c r="C108"/>
  <c r="C107"/>
  <c r="C110"/>
  <c r="C109"/>
  <c r="C106"/>
  <c r="C105"/>
  <c r="C94"/>
  <c r="C96"/>
  <c r="C98"/>
  <c r="C100"/>
  <c r="C102"/>
  <c r="C104"/>
  <c r="C93"/>
  <c r="C95"/>
  <c r="F95" s="1"/>
  <c r="C97"/>
  <c r="C99"/>
  <c r="C101"/>
  <c r="C103"/>
  <c r="C92"/>
  <c r="C91"/>
  <c r="C90"/>
  <c r="F90" s="1"/>
  <c r="C89"/>
  <c r="C88"/>
  <c r="C87"/>
  <c r="C86"/>
  <c r="C85"/>
  <c r="C83"/>
  <c r="C84"/>
  <c r="C82"/>
  <c r="C81"/>
  <c r="C80"/>
  <c r="C75"/>
  <c r="C77"/>
  <c r="C79"/>
  <c r="C76"/>
  <c r="C78"/>
  <c r="C74"/>
  <c r="C73"/>
  <c r="C68"/>
  <c r="C70"/>
  <c r="C72"/>
  <c r="C71"/>
  <c r="C69"/>
  <c r="C67"/>
  <c r="C66"/>
  <c r="C65"/>
  <c r="C64"/>
  <c r="C63"/>
  <c r="C62"/>
  <c r="C61"/>
  <c r="C56"/>
  <c r="C58"/>
  <c r="C60"/>
  <c r="C57"/>
  <c r="C59"/>
  <c r="C55"/>
  <c r="C54"/>
  <c r="C53"/>
  <c r="C50"/>
  <c r="C52"/>
  <c r="F52" s="1"/>
  <c r="C51"/>
  <c r="C47"/>
  <c r="C49"/>
  <c r="C48"/>
  <c r="C46"/>
  <c r="C43"/>
  <c r="C45"/>
  <c r="C44"/>
  <c r="C42"/>
  <c r="C41"/>
  <c r="C38"/>
  <c r="C40"/>
  <c r="F40" s="1"/>
  <c r="C39"/>
  <c r="C3"/>
  <c r="F124" s="1"/>
  <c r="C37"/>
  <c r="J58" i="32"/>
  <c r="J133" s="1"/>
  <c r="H11" a="1"/>
  <c r="H11" s="1"/>
  <c r="G11" a="1"/>
  <c r="G11" s="1"/>
  <c r="F11" a="1"/>
  <c r="F11" s="1"/>
  <c r="E11" a="1"/>
  <c r="E11" s="1"/>
  <c r="B11" s="1"/>
  <c r="I10" a="1"/>
  <c r="I10" s="1"/>
  <c r="H10" a="1"/>
  <c r="H10" s="1"/>
  <c r="G10" a="1"/>
  <c r="G10" s="1"/>
  <c r="F10" a="1"/>
  <c r="F10" s="1"/>
  <c r="E10" a="1"/>
  <c r="E10" s="1"/>
  <c r="B10" s="1"/>
  <c r="D10" a="1"/>
  <c r="I9" a="1"/>
  <c r="I9" s="1"/>
  <c r="H9" a="1"/>
  <c r="H9" s="1"/>
  <c r="G9" a="1"/>
  <c r="G9" s="1"/>
  <c r="F9" a="1"/>
  <c r="F9" s="1"/>
  <c r="E9" a="1"/>
  <c r="E9" s="1"/>
  <c r="B9" s="1"/>
  <c r="D9" a="1"/>
  <c r="I8" a="1"/>
  <c r="I8" s="1"/>
  <c r="H8" a="1"/>
  <c r="H8" s="1"/>
  <c r="G8" a="1"/>
  <c r="G8" s="1"/>
  <c r="F8" a="1"/>
  <c r="F8" s="1"/>
  <c r="E8" a="1"/>
  <c r="E8" s="1"/>
  <c r="B8" s="1"/>
  <c r="D8" a="1"/>
  <c r="I7" a="1"/>
  <c r="I7" s="1"/>
  <c r="H7" a="1"/>
  <c r="H7" s="1"/>
  <c r="G7" a="1"/>
  <c r="G7" s="1"/>
  <c r="F7" a="1"/>
  <c r="F7" s="1"/>
  <c r="E7" a="1"/>
  <c r="E7" s="1"/>
  <c r="B7" s="1"/>
  <c r="D7" a="1"/>
  <c r="I11" a="1"/>
  <c r="I11" s="1"/>
  <c r="E12" a="1"/>
  <c r="E12" s="1"/>
  <c r="B12" s="1"/>
  <c r="G12" a="1"/>
  <c r="G12" s="1"/>
  <c r="I12" a="1"/>
  <c r="I12" s="1"/>
  <c r="E13" a="1"/>
  <c r="E13" s="1"/>
  <c r="B13" s="1"/>
  <c r="G13" a="1"/>
  <c r="G13" s="1"/>
  <c r="I13" a="1"/>
  <c r="I13" s="1"/>
  <c r="E14" a="1"/>
  <c r="E14" s="1"/>
  <c r="B14" s="1"/>
  <c r="G14" a="1"/>
  <c r="G14" s="1"/>
  <c r="I14" a="1"/>
  <c r="I14" s="1"/>
  <c r="E15" a="1"/>
  <c r="E15" s="1"/>
  <c r="B15" s="1"/>
  <c r="G15" a="1"/>
  <c r="G15" s="1"/>
  <c r="I15" a="1"/>
  <c r="I15" s="1"/>
  <c r="E16" a="1"/>
  <c r="E16" s="1"/>
  <c r="B16" s="1"/>
  <c r="G16" a="1"/>
  <c r="G16" s="1"/>
  <c r="I16" a="1"/>
  <c r="I16" s="1"/>
  <c r="E17" a="1"/>
  <c r="E17" s="1"/>
  <c r="B17" s="1"/>
  <c r="G17" a="1"/>
  <c r="G17" s="1"/>
  <c r="I17" a="1"/>
  <c r="I17" s="1"/>
  <c r="E18" a="1"/>
  <c r="E18" s="1"/>
  <c r="B18" s="1"/>
  <c r="G18" a="1"/>
  <c r="G18" s="1"/>
  <c r="I18" a="1"/>
  <c r="I18" s="1"/>
  <c r="E19" a="1"/>
  <c r="E19" s="1"/>
  <c r="B19" s="1"/>
  <c r="G19" a="1"/>
  <c r="G19" s="1"/>
  <c r="I19" a="1"/>
  <c r="I19" s="1"/>
  <c r="E20" a="1"/>
  <c r="E20" s="1"/>
  <c r="B20" s="1"/>
  <c r="G20" a="1"/>
  <c r="G20" s="1"/>
  <c r="I20" a="1"/>
  <c r="I20" s="1"/>
  <c r="E21" a="1"/>
  <c r="E21" s="1"/>
  <c r="B21" s="1"/>
  <c r="G21" a="1"/>
  <c r="G21" s="1"/>
  <c r="I21" a="1"/>
  <c r="I21" s="1"/>
  <c r="E22" a="1"/>
  <c r="E22" s="1"/>
  <c r="B22" s="1"/>
  <c r="G22" a="1"/>
  <c r="G22" s="1"/>
  <c r="I22" a="1"/>
  <c r="I22" s="1"/>
  <c r="E23" a="1"/>
  <c r="E23" s="1"/>
  <c r="B23" s="1"/>
  <c r="G23" a="1"/>
  <c r="G23" s="1"/>
  <c r="I23" a="1"/>
  <c r="I23" s="1"/>
  <c r="E24" a="1"/>
  <c r="E24" s="1"/>
  <c r="B24" s="1"/>
  <c r="G24" a="1"/>
  <c r="G24" s="1"/>
  <c r="I24" a="1"/>
  <c r="I24" s="1"/>
  <c r="E25" a="1"/>
  <c r="E25" s="1"/>
  <c r="B25" s="1"/>
  <c r="G25" a="1"/>
  <c r="G25" s="1"/>
  <c r="I25" a="1"/>
  <c r="I25" s="1"/>
  <c r="E26" a="1"/>
  <c r="E26" s="1"/>
  <c r="B26" s="1"/>
  <c r="G26" a="1"/>
  <c r="G26" s="1"/>
  <c r="I26" a="1"/>
  <c r="I26" s="1"/>
  <c r="E27" a="1"/>
  <c r="E27" s="1"/>
  <c r="B27" s="1"/>
  <c r="G27" a="1"/>
  <c r="G27" s="1"/>
  <c r="I27" a="1"/>
  <c r="I27" s="1"/>
  <c r="E28" a="1"/>
  <c r="E28" s="1"/>
  <c r="B28" s="1"/>
  <c r="G28" a="1"/>
  <c r="G28" s="1"/>
  <c r="I28" a="1"/>
  <c r="I28" s="1"/>
  <c r="F29" a="1"/>
  <c r="F29" s="1"/>
  <c r="D30" a="1"/>
  <c r="D30" s="1"/>
  <c r="H30" a="1"/>
  <c r="H30" s="1"/>
  <c r="F31" a="1"/>
  <c r="F31" s="1"/>
  <c r="D32" a="1"/>
  <c r="D32" s="1"/>
  <c r="H32" a="1"/>
  <c r="H32" s="1"/>
  <c r="F33" a="1"/>
  <c r="F33" s="1"/>
  <c r="D34" a="1"/>
  <c r="D34" s="1"/>
  <c r="H34" a="1"/>
  <c r="H34" s="1"/>
  <c r="F35" a="1"/>
  <c r="F35" s="1"/>
  <c r="D36" a="1"/>
  <c r="D36" s="1"/>
  <c r="H36" a="1"/>
  <c r="H36" s="1"/>
  <c r="F37" a="1"/>
  <c r="F37" s="1"/>
  <c r="D38" a="1"/>
  <c r="D38" s="1"/>
  <c r="H38" a="1"/>
  <c r="H38" s="1"/>
  <c r="F39" a="1"/>
  <c r="F39" s="1"/>
  <c r="H55" a="1"/>
  <c r="H55" s="1"/>
  <c r="F55" a="1"/>
  <c r="F55" s="1"/>
  <c r="D55" a="1"/>
  <c r="D55" s="1"/>
  <c r="H54" a="1"/>
  <c r="H54" s="1"/>
  <c r="F54" a="1"/>
  <c r="F54" s="1"/>
  <c r="D54" a="1"/>
  <c r="D54" s="1"/>
  <c r="H53" a="1"/>
  <c r="H53" s="1"/>
  <c r="F53" a="1"/>
  <c r="F53" s="1"/>
  <c r="D53" a="1"/>
  <c r="D53" s="1"/>
  <c r="H52" a="1"/>
  <c r="H52" s="1"/>
  <c r="F52" a="1"/>
  <c r="F52" s="1"/>
  <c r="D52" a="1"/>
  <c r="D52" s="1"/>
  <c r="H51" a="1"/>
  <c r="H51" s="1"/>
  <c r="F51" a="1"/>
  <c r="F51" s="1"/>
  <c r="D51" a="1"/>
  <c r="D51" s="1"/>
  <c r="H50" a="1"/>
  <c r="H50" s="1"/>
  <c r="F50" a="1"/>
  <c r="F50" s="1"/>
  <c r="D50" a="1"/>
  <c r="D50" s="1"/>
  <c r="H49" a="1"/>
  <c r="H49" s="1"/>
  <c r="F49" a="1"/>
  <c r="F49" s="1"/>
  <c r="D49" a="1"/>
  <c r="D49" s="1"/>
  <c r="H48" a="1"/>
  <c r="H48" s="1"/>
  <c r="F48" a="1"/>
  <c r="F48" s="1"/>
  <c r="D48" a="1"/>
  <c r="D48" s="1"/>
  <c r="H47" a="1"/>
  <c r="H47" s="1"/>
  <c r="F47" a="1"/>
  <c r="F47" s="1"/>
  <c r="D47" a="1"/>
  <c r="D47" s="1"/>
  <c r="H46" a="1"/>
  <c r="H46" s="1"/>
  <c r="F46" a="1"/>
  <c r="F46" s="1"/>
  <c r="D46" a="1"/>
  <c r="D46" s="1"/>
  <c r="H45" a="1"/>
  <c r="H45" s="1"/>
  <c r="F45" a="1"/>
  <c r="F45" s="1"/>
  <c r="D45" a="1"/>
  <c r="D45" s="1"/>
  <c r="H44" a="1"/>
  <c r="H44" s="1"/>
  <c r="F44" a="1"/>
  <c r="F44" s="1"/>
  <c r="D44" a="1"/>
  <c r="D44" s="1"/>
  <c r="H43" a="1"/>
  <c r="H43" s="1"/>
  <c r="F43" a="1"/>
  <c r="F43" s="1"/>
  <c r="D43" a="1"/>
  <c r="D43" s="1"/>
  <c r="H42" a="1"/>
  <c r="H42" s="1"/>
  <c r="F42" a="1"/>
  <c r="F42" s="1"/>
  <c r="D42" a="1"/>
  <c r="D42" s="1"/>
  <c r="H41" a="1"/>
  <c r="H41" s="1"/>
  <c r="F41" a="1"/>
  <c r="F41" s="1"/>
  <c r="D41" a="1"/>
  <c r="D41" s="1"/>
  <c r="H40" a="1"/>
  <c r="H40" s="1"/>
  <c r="F40" a="1"/>
  <c r="F40" s="1"/>
  <c r="D40" a="1"/>
  <c r="D40" s="1"/>
  <c r="E6" a="1"/>
  <c r="E6" s="1"/>
  <c r="B6" s="1"/>
  <c r="G6" a="1"/>
  <c r="G6" s="1"/>
  <c r="I6" a="1"/>
  <c r="I6" s="1"/>
  <c r="G29" a="1"/>
  <c r="G29" s="1"/>
  <c r="E30" a="1"/>
  <c r="E30" s="1"/>
  <c r="B30" s="1"/>
  <c r="I30" a="1"/>
  <c r="I30" s="1"/>
  <c r="G31" a="1"/>
  <c r="G31" s="1"/>
  <c r="E32" a="1"/>
  <c r="E32" s="1"/>
  <c r="B32" s="1"/>
  <c r="I32" a="1"/>
  <c r="I32" s="1"/>
  <c r="G33" a="1"/>
  <c r="G33" s="1"/>
  <c r="E34" a="1"/>
  <c r="E34" s="1"/>
  <c r="B34" s="1"/>
  <c r="I34" a="1"/>
  <c r="I34" s="1"/>
  <c r="G35" a="1"/>
  <c r="G35" s="1"/>
  <c r="E36" a="1"/>
  <c r="E36" s="1"/>
  <c r="B36" s="1"/>
  <c r="I36" a="1"/>
  <c r="I36" s="1"/>
  <c r="G37" a="1"/>
  <c r="G37" s="1"/>
  <c r="E38" a="1"/>
  <c r="E38" s="1"/>
  <c r="B38" s="1"/>
  <c r="I38" a="1"/>
  <c r="I38" s="1"/>
  <c r="G39" a="1"/>
  <c r="G39" s="1"/>
  <c r="H39" a="1"/>
  <c r="H39" s="1"/>
  <c r="F12" a="1"/>
  <c r="F12" s="1"/>
  <c r="H12" a="1"/>
  <c r="H12" s="1"/>
  <c r="F13" a="1"/>
  <c r="F13" s="1"/>
  <c r="H13" a="1"/>
  <c r="H13" s="1"/>
  <c r="F14" a="1"/>
  <c r="F14" s="1"/>
  <c r="H14" a="1"/>
  <c r="H14" s="1"/>
  <c r="F15" a="1"/>
  <c r="F15" s="1"/>
  <c r="H15" a="1"/>
  <c r="H15" s="1"/>
  <c r="D16" a="1"/>
  <c r="D16" s="1"/>
  <c r="F16" a="1"/>
  <c r="F16" s="1"/>
  <c r="H16" a="1"/>
  <c r="H16" s="1"/>
  <c r="D17" a="1"/>
  <c r="D17" s="1"/>
  <c r="F17" a="1"/>
  <c r="F17" s="1"/>
  <c r="H17" a="1"/>
  <c r="H17" s="1"/>
  <c r="D18" a="1"/>
  <c r="D18" s="1"/>
  <c r="F18" a="1"/>
  <c r="F18" s="1"/>
  <c r="H18" a="1"/>
  <c r="H18" s="1"/>
  <c r="D19" a="1"/>
  <c r="D19" s="1"/>
  <c r="F19" a="1"/>
  <c r="F19" s="1"/>
  <c r="H19" a="1"/>
  <c r="H19" s="1"/>
  <c r="D20" a="1"/>
  <c r="D20" s="1"/>
  <c r="F20" a="1"/>
  <c r="F20" s="1"/>
  <c r="H20" a="1"/>
  <c r="H20" s="1"/>
  <c r="D21" a="1"/>
  <c r="D21" s="1"/>
  <c r="F21" a="1"/>
  <c r="F21" s="1"/>
  <c r="H21" a="1"/>
  <c r="H21" s="1"/>
  <c r="D22" a="1"/>
  <c r="D22" s="1"/>
  <c r="F22" a="1"/>
  <c r="F22" s="1"/>
  <c r="H22" a="1"/>
  <c r="H22" s="1"/>
  <c r="D23" a="1"/>
  <c r="D23" s="1"/>
  <c r="F23" a="1"/>
  <c r="F23" s="1"/>
  <c r="H23" a="1"/>
  <c r="H23" s="1"/>
  <c r="D24" a="1"/>
  <c r="D24" s="1"/>
  <c r="F24" a="1"/>
  <c r="F24" s="1"/>
  <c r="H24" a="1"/>
  <c r="H24" s="1"/>
  <c r="D25" a="1"/>
  <c r="D25" s="1"/>
  <c r="F25" a="1"/>
  <c r="F25" s="1"/>
  <c r="H25" a="1"/>
  <c r="H25" s="1"/>
  <c r="D26" a="1"/>
  <c r="D26" s="1"/>
  <c r="F26" a="1"/>
  <c r="F26" s="1"/>
  <c r="H26" a="1"/>
  <c r="H26" s="1"/>
  <c r="D27" a="1"/>
  <c r="D27" s="1"/>
  <c r="F27" a="1"/>
  <c r="F27" s="1"/>
  <c r="H27" a="1"/>
  <c r="H27" s="1"/>
  <c r="D28" a="1"/>
  <c r="D28" s="1"/>
  <c r="F28" a="1"/>
  <c r="F28" s="1"/>
  <c r="H28" a="1"/>
  <c r="H28" s="1"/>
  <c r="D29" a="1"/>
  <c r="D29" s="1"/>
  <c r="H29" a="1"/>
  <c r="H29" s="1"/>
  <c r="F30" a="1"/>
  <c r="F30" s="1"/>
  <c r="D31" a="1"/>
  <c r="D31" s="1"/>
  <c r="H31" a="1"/>
  <c r="H31" s="1"/>
  <c r="F32" a="1"/>
  <c r="F32" s="1"/>
  <c r="D33" a="1"/>
  <c r="D33" s="1"/>
  <c r="H33" a="1"/>
  <c r="H33" s="1"/>
  <c r="F34" a="1"/>
  <c r="F34" s="1"/>
  <c r="D35" a="1"/>
  <c r="D35" s="1"/>
  <c r="H35" a="1"/>
  <c r="H35" s="1"/>
  <c r="F36" a="1"/>
  <c r="F36" s="1"/>
  <c r="D37" a="1"/>
  <c r="D37" s="1"/>
  <c r="H37" a="1"/>
  <c r="H37" s="1"/>
  <c r="F38" a="1"/>
  <c r="F38" s="1"/>
  <c r="D39" a="1"/>
  <c r="D39" s="1"/>
  <c r="I55" a="1"/>
  <c r="I55" s="1"/>
  <c r="G55" a="1"/>
  <c r="G55" s="1"/>
  <c r="E55" a="1"/>
  <c r="E55" s="1"/>
  <c r="B55" s="1"/>
  <c r="I54" a="1"/>
  <c r="I54" s="1"/>
  <c r="G54" a="1"/>
  <c r="G54" s="1"/>
  <c r="E54" a="1"/>
  <c r="E54" s="1"/>
  <c r="B54" s="1"/>
  <c r="I53" a="1"/>
  <c r="I53" s="1"/>
  <c r="G53" a="1"/>
  <c r="G53" s="1"/>
  <c r="E53" a="1"/>
  <c r="E53" s="1"/>
  <c r="B53" s="1"/>
  <c r="I52" a="1"/>
  <c r="I52" s="1"/>
  <c r="G52" a="1"/>
  <c r="G52" s="1"/>
  <c r="E52" a="1"/>
  <c r="E52" s="1"/>
  <c r="B52" s="1"/>
  <c r="I51" a="1"/>
  <c r="I51" s="1"/>
  <c r="G51" a="1"/>
  <c r="G51" s="1"/>
  <c r="E51" a="1"/>
  <c r="E51" s="1"/>
  <c r="B51" s="1"/>
  <c r="I50" a="1"/>
  <c r="I50" s="1"/>
  <c r="G50" a="1"/>
  <c r="G50" s="1"/>
  <c r="E50" a="1"/>
  <c r="E50" s="1"/>
  <c r="B50" s="1"/>
  <c r="I49" a="1"/>
  <c r="I49" s="1"/>
  <c r="G49" a="1"/>
  <c r="G49" s="1"/>
  <c r="E49" a="1"/>
  <c r="E49" s="1"/>
  <c r="B49" s="1"/>
  <c r="I48" a="1"/>
  <c r="I48" s="1"/>
  <c r="G48" a="1"/>
  <c r="G48" s="1"/>
  <c r="E48" a="1"/>
  <c r="E48" s="1"/>
  <c r="B48" s="1"/>
  <c r="I47" a="1"/>
  <c r="I47" s="1"/>
  <c r="G47" a="1"/>
  <c r="G47" s="1"/>
  <c r="E47" a="1"/>
  <c r="E47" s="1"/>
  <c r="B47" s="1"/>
  <c r="I46" a="1"/>
  <c r="I46" s="1"/>
  <c r="G46" a="1"/>
  <c r="G46" s="1"/>
  <c r="E46" a="1"/>
  <c r="E46" s="1"/>
  <c r="B46" s="1"/>
  <c r="I45" a="1"/>
  <c r="I45" s="1"/>
  <c r="G45" a="1"/>
  <c r="G45" s="1"/>
  <c r="E45" a="1"/>
  <c r="E45" s="1"/>
  <c r="B45" s="1"/>
  <c r="I44" a="1"/>
  <c r="I44" s="1"/>
  <c r="G44" a="1"/>
  <c r="G44" s="1"/>
  <c r="E44" a="1"/>
  <c r="E44" s="1"/>
  <c r="B44" s="1"/>
  <c r="I43" a="1"/>
  <c r="I43" s="1"/>
  <c r="G43" a="1"/>
  <c r="G43" s="1"/>
  <c r="E43" a="1"/>
  <c r="E43" s="1"/>
  <c r="B43" s="1"/>
  <c r="I42" a="1"/>
  <c r="I42" s="1"/>
  <c r="G42" a="1"/>
  <c r="G42" s="1"/>
  <c r="E42" a="1"/>
  <c r="E42" s="1"/>
  <c r="B42" s="1"/>
  <c r="I41" a="1"/>
  <c r="I41" s="1"/>
  <c r="G41" a="1"/>
  <c r="G41" s="1"/>
  <c r="E41" a="1"/>
  <c r="E41" s="1"/>
  <c r="B41" s="1"/>
  <c r="I40" a="1"/>
  <c r="I40" s="1"/>
  <c r="G40" a="1"/>
  <c r="G40" s="1"/>
  <c r="E40" a="1"/>
  <c r="E40" s="1"/>
  <c r="B40" s="1"/>
  <c r="D6" a="1"/>
  <c r="F6" a="1"/>
  <c r="F6" s="1"/>
  <c r="H6" a="1"/>
  <c r="H6" s="1"/>
  <c r="E29" a="1"/>
  <c r="E29" s="1"/>
  <c r="B29" s="1"/>
  <c r="I29" a="1"/>
  <c r="I29" s="1"/>
  <c r="G30" a="1"/>
  <c r="G30" s="1"/>
  <c r="E31" a="1"/>
  <c r="E31" s="1"/>
  <c r="B31" s="1"/>
  <c r="I31" a="1"/>
  <c r="I31" s="1"/>
  <c r="G32" a="1"/>
  <c r="G32" s="1"/>
  <c r="E33" a="1"/>
  <c r="E33" s="1"/>
  <c r="B33" s="1"/>
  <c r="I33" a="1"/>
  <c r="I33" s="1"/>
  <c r="G34" a="1"/>
  <c r="G34" s="1"/>
  <c r="E35" a="1"/>
  <c r="E35" s="1"/>
  <c r="B35" s="1"/>
  <c r="I35" a="1"/>
  <c r="I35" s="1"/>
  <c r="G36" a="1"/>
  <c r="G36" s="1"/>
  <c r="E37" a="1"/>
  <c r="E37" s="1"/>
  <c r="B37" s="1"/>
  <c r="I37" a="1"/>
  <c r="I37" s="1"/>
  <c r="G38" a="1"/>
  <c r="G38" s="1"/>
  <c r="E39" a="1"/>
  <c r="E39" s="1"/>
  <c r="B39" s="1"/>
  <c r="I39" a="1"/>
  <c r="I39" s="1"/>
  <c r="I55" i="24" a="1"/>
  <c r="G55" a="1"/>
  <c r="E55" a="1"/>
  <c r="I54" a="1"/>
  <c r="G54" a="1"/>
  <c r="E54" a="1"/>
  <c r="H55" a="1"/>
  <c r="F55" a="1"/>
  <c r="D55" a="1"/>
  <c r="H54" a="1"/>
  <c r="F54" a="1"/>
  <c r="D54" a="1"/>
  <c r="I53" a="1"/>
  <c r="G53" a="1"/>
  <c r="E53" a="1"/>
  <c r="H52" a="1"/>
  <c r="F52" a="1"/>
  <c r="D52" a="1"/>
  <c r="H51" a="1"/>
  <c r="F51" a="1"/>
  <c r="D51" a="1"/>
  <c r="I50" a="1"/>
  <c r="G50" a="1"/>
  <c r="E50" a="1"/>
  <c r="I49" a="1"/>
  <c r="G49" a="1"/>
  <c r="E49" a="1"/>
  <c r="H48" a="1"/>
  <c r="F48" a="1"/>
  <c r="D48" a="1"/>
  <c r="I47" a="1"/>
  <c r="H47" a="1"/>
  <c r="F47" a="1"/>
  <c r="D47" a="1"/>
  <c r="I46" a="1"/>
  <c r="G46" a="1"/>
  <c r="E46" a="1"/>
  <c r="I45" a="1"/>
  <c r="G45" a="1"/>
  <c r="E45" a="1"/>
  <c r="I44" a="1"/>
  <c r="G44" a="1"/>
  <c r="E44" a="1"/>
  <c r="H43" a="1"/>
  <c r="F43" a="1"/>
  <c r="D43" a="1"/>
  <c r="H42" a="1"/>
  <c r="F42" a="1"/>
  <c r="D42" a="1"/>
  <c r="H41" a="1"/>
  <c r="F41" a="1"/>
  <c r="D41" a="1"/>
  <c r="H40" a="1"/>
  <c r="F40" a="1"/>
  <c r="D40" a="1"/>
  <c r="I39" a="1"/>
  <c r="G39" a="1"/>
  <c r="E39" a="1"/>
  <c r="G38" a="1"/>
  <c r="E38" a="1"/>
  <c r="I37" a="1"/>
  <c r="G37" a="1"/>
  <c r="E37" a="1"/>
  <c r="I36" a="1"/>
  <c r="G36" a="1"/>
  <c r="E36" a="1"/>
  <c r="H35" a="1"/>
  <c r="F35" a="1"/>
  <c r="D35" a="1"/>
  <c r="H34" a="1"/>
  <c r="F34" a="1"/>
  <c r="D34" a="1"/>
  <c r="I33" a="1"/>
  <c r="G33" a="1"/>
  <c r="E33" a="1"/>
  <c r="I32" a="1"/>
  <c r="G32" a="1"/>
  <c r="E32" a="1"/>
  <c r="I31" a="1"/>
  <c r="G31" a="1"/>
  <c r="E31" a="1"/>
  <c r="I30" a="1"/>
  <c r="G30" a="1"/>
  <c r="E30" a="1"/>
  <c r="I29" a="1"/>
  <c r="G29" a="1"/>
  <c r="E29" a="1"/>
  <c r="I28" a="1"/>
  <c r="G28" a="1"/>
  <c r="E28" a="1"/>
  <c r="H27" a="1"/>
  <c r="F27" a="1"/>
  <c r="D27" a="1"/>
  <c r="H26" a="1"/>
  <c r="F26" a="1"/>
  <c r="D26" a="1"/>
  <c r="H25" a="1"/>
  <c r="F25" a="1"/>
  <c r="D25" a="1"/>
  <c r="H24" a="1"/>
  <c r="F24" a="1"/>
  <c r="D24" a="1"/>
  <c r="I23" a="1"/>
  <c r="G23" a="1"/>
  <c r="E23" a="1"/>
  <c r="I22" a="1"/>
  <c r="G22" a="1"/>
  <c r="E22" a="1"/>
  <c r="I21" a="1"/>
  <c r="G21" a="1"/>
  <c r="E21" a="1"/>
  <c r="I20" a="1"/>
  <c r="G20" a="1"/>
  <c r="E20" a="1"/>
  <c r="I19" a="1"/>
  <c r="G19" a="1"/>
  <c r="E19" a="1"/>
  <c r="H18" a="1"/>
  <c r="F18" a="1"/>
  <c r="D18" a="1"/>
  <c r="H17" a="1"/>
  <c r="F17" a="1"/>
  <c r="D17" a="1"/>
  <c r="H16" a="1"/>
  <c r="F16" a="1"/>
  <c r="D16" a="1"/>
  <c r="H15" a="1"/>
  <c r="F15" a="1"/>
  <c r="D15" a="1"/>
  <c r="H14" a="1"/>
  <c r="F14" a="1"/>
  <c r="D14" a="1"/>
  <c r="H13" a="1"/>
  <c r="F13" a="1"/>
  <c r="D13" a="1"/>
  <c r="H12" a="1"/>
  <c r="F12" a="1"/>
  <c r="D12" a="1"/>
  <c r="I11" a="1"/>
  <c r="G11" a="1"/>
  <c r="E11" a="1"/>
  <c r="I10" a="1"/>
  <c r="G10" a="1"/>
  <c r="E10" a="1"/>
  <c r="I9" a="1"/>
  <c r="G9" a="1"/>
  <c r="E9" a="1"/>
  <c r="H8" a="1"/>
  <c r="F8" a="1"/>
  <c r="D8" a="1"/>
  <c r="H7" a="1"/>
  <c r="F7" a="1"/>
  <c r="D7" a="1"/>
  <c r="H6" a="1"/>
  <c r="F6" a="1"/>
  <c r="D6" a="1"/>
  <c r="H53" a="1"/>
  <c r="F53" a="1"/>
  <c r="D53" a="1"/>
  <c r="I52" a="1"/>
  <c r="H52" s="1"/>
  <c r="G52" a="1"/>
  <c r="F52" s="1"/>
  <c r="E52" a="1"/>
  <c r="D52" s="1"/>
  <c r="I51" a="1"/>
  <c r="H51" s="1"/>
  <c r="G51" a="1"/>
  <c r="F51" s="1"/>
  <c r="E51" a="1"/>
  <c r="D51" s="1"/>
  <c r="H50" a="1"/>
  <c r="F50" a="1"/>
  <c r="D50" a="1"/>
  <c r="H49" a="1"/>
  <c r="F49" a="1"/>
  <c r="D49" a="1"/>
  <c r="I48" a="1"/>
  <c r="H48" s="1"/>
  <c r="G48" a="1"/>
  <c r="F48" s="1"/>
  <c r="E48" a="1"/>
  <c r="D48" s="1"/>
  <c r="G47" a="1"/>
  <c r="F47" s="1"/>
  <c r="E47" a="1"/>
  <c r="D47" s="1"/>
  <c r="H46" a="1"/>
  <c r="F46" a="1"/>
  <c r="D46" a="1"/>
  <c r="H45" a="1"/>
  <c r="F45" a="1"/>
  <c r="D45" a="1"/>
  <c r="H44" a="1"/>
  <c r="F44" a="1"/>
  <c r="D44" a="1"/>
  <c r="I43" a="1"/>
  <c r="H43" s="1"/>
  <c r="G43" a="1"/>
  <c r="F43" s="1"/>
  <c r="E43" a="1"/>
  <c r="D43" s="1"/>
  <c r="I42" a="1"/>
  <c r="H42" s="1"/>
  <c r="G42" a="1"/>
  <c r="F42" s="1"/>
  <c r="E42" a="1"/>
  <c r="D42" s="1"/>
  <c r="I41" a="1"/>
  <c r="H41" s="1"/>
  <c r="G41" a="1"/>
  <c r="F41" s="1"/>
  <c r="E41" a="1"/>
  <c r="D41" s="1"/>
  <c r="I40" a="1"/>
  <c r="H40" s="1"/>
  <c r="G40" a="1"/>
  <c r="F40" s="1"/>
  <c r="E40" a="1"/>
  <c r="D40" s="1"/>
  <c r="H39" a="1"/>
  <c r="F39" a="1"/>
  <c r="D39" a="1"/>
  <c r="I38" a="1"/>
  <c r="H38" a="1"/>
  <c r="F38" a="1"/>
  <c r="D38" a="1"/>
  <c r="H37" a="1"/>
  <c r="F37" a="1"/>
  <c r="D37" a="1"/>
  <c r="H36" a="1"/>
  <c r="F36" a="1"/>
  <c r="D36" a="1"/>
  <c r="I35" a="1"/>
  <c r="H35" s="1"/>
  <c r="G35" a="1"/>
  <c r="F35" s="1"/>
  <c r="E35" a="1"/>
  <c r="D35" s="1"/>
  <c r="I34" a="1"/>
  <c r="H34" s="1"/>
  <c r="G34" a="1"/>
  <c r="F34" s="1"/>
  <c r="E34" a="1"/>
  <c r="D34" s="1"/>
  <c r="H33" a="1"/>
  <c r="F33" a="1"/>
  <c r="D33" a="1"/>
  <c r="H32" a="1"/>
  <c r="F32" a="1"/>
  <c r="D32" a="1"/>
  <c r="H31" a="1"/>
  <c r="F31" a="1"/>
  <c r="D31" a="1"/>
  <c r="H30" a="1"/>
  <c r="F30" a="1"/>
  <c r="D30" a="1"/>
  <c r="H29" a="1"/>
  <c r="F29" a="1"/>
  <c r="D29" a="1"/>
  <c r="H28" a="1"/>
  <c r="F28" a="1"/>
  <c r="D28" a="1"/>
  <c r="I27" a="1"/>
  <c r="H27" s="1"/>
  <c r="G27" a="1"/>
  <c r="F27" s="1"/>
  <c r="E27" a="1"/>
  <c r="D27" s="1"/>
  <c r="I26" a="1"/>
  <c r="H26" s="1"/>
  <c r="G26" a="1"/>
  <c r="F26" s="1"/>
  <c r="E26" a="1"/>
  <c r="D26" s="1"/>
  <c r="I25" a="1"/>
  <c r="H25" s="1"/>
  <c r="G25" a="1"/>
  <c r="F25" s="1"/>
  <c r="E25" a="1"/>
  <c r="D25" s="1"/>
  <c r="I24" a="1"/>
  <c r="H24" s="1"/>
  <c r="G24" a="1"/>
  <c r="F24" s="1"/>
  <c r="E24" a="1"/>
  <c r="D24" s="1"/>
  <c r="H23" a="1"/>
  <c r="F23" a="1"/>
  <c r="D23" a="1"/>
  <c r="H22" a="1"/>
  <c r="F22" a="1"/>
  <c r="D22" a="1"/>
  <c r="H21" a="1"/>
  <c r="F21" a="1"/>
  <c r="D21" a="1"/>
  <c r="H20" a="1"/>
  <c r="F20" a="1"/>
  <c r="D20" a="1"/>
  <c r="H19" a="1"/>
  <c r="F19" a="1"/>
  <c r="D19" a="1"/>
  <c r="I18" a="1"/>
  <c r="H18" s="1"/>
  <c r="G18" a="1"/>
  <c r="F18" s="1"/>
  <c r="E18" a="1"/>
  <c r="D18" s="1"/>
  <c r="I17" a="1"/>
  <c r="H17" s="1"/>
  <c r="G17" a="1"/>
  <c r="F17" s="1"/>
  <c r="E17" a="1"/>
  <c r="D17" s="1"/>
  <c r="I16" a="1"/>
  <c r="H16" s="1"/>
  <c r="G16" a="1"/>
  <c r="F16" s="1"/>
  <c r="E16" a="1"/>
  <c r="D16" s="1"/>
  <c r="I15" a="1"/>
  <c r="H15" s="1"/>
  <c r="G15" a="1"/>
  <c r="F15" s="1"/>
  <c r="E15" a="1"/>
  <c r="D15" s="1"/>
  <c r="I14" a="1"/>
  <c r="H14" s="1"/>
  <c r="G14" a="1"/>
  <c r="F14" s="1"/>
  <c r="E14" a="1"/>
  <c r="D14" s="1"/>
  <c r="I13" a="1"/>
  <c r="H13" s="1"/>
  <c r="G13" a="1"/>
  <c r="F13" s="1"/>
  <c r="E13" a="1"/>
  <c r="D13" s="1"/>
  <c r="I12" a="1"/>
  <c r="H12" s="1"/>
  <c r="G12" a="1"/>
  <c r="F12" s="1"/>
  <c r="E12" a="1"/>
  <c r="D12" s="1"/>
  <c r="H11" a="1"/>
  <c r="F11" a="1"/>
  <c r="D11" a="1"/>
  <c r="H10" a="1"/>
  <c r="F10" a="1"/>
  <c r="D10" a="1"/>
  <c r="H9" a="1"/>
  <c r="F9" a="1"/>
  <c r="D9" a="1"/>
  <c r="I8" a="1"/>
  <c r="H8" s="1"/>
  <c r="G8" a="1"/>
  <c r="F8" s="1"/>
  <c r="E8" a="1"/>
  <c r="D8" s="1"/>
  <c r="I7" a="1"/>
  <c r="H7" s="1"/>
  <c r="G7" a="1"/>
  <c r="F7" s="1"/>
  <c r="E7" a="1"/>
  <c r="I6" a="1"/>
  <c r="H6" s="1"/>
  <c r="G6" a="1"/>
  <c r="F6" s="1"/>
  <c r="E6" a="1"/>
  <c r="D6" s="1"/>
  <c r="C4" i="25"/>
  <c r="F4" s="1"/>
  <c r="F6"/>
  <c r="C9"/>
  <c r="F9" s="1"/>
  <c r="C11"/>
  <c r="F15"/>
  <c r="F19"/>
  <c r="C25"/>
  <c r="F25" s="1"/>
  <c r="C7"/>
  <c r="F7" s="1"/>
  <c r="C13"/>
  <c r="F13" s="1"/>
  <c r="J58" i="24"/>
  <c r="D8" i="23"/>
  <c r="E8"/>
  <c r="D11"/>
  <c r="E11"/>
  <c r="C36" i="25"/>
  <c r="C35"/>
  <c r="C34"/>
  <c r="C33"/>
  <c r="D7" i="23"/>
  <c r="E7"/>
  <c r="E9"/>
  <c r="D9"/>
  <c r="C5" i="25"/>
  <c r="C8"/>
  <c r="F8" s="1"/>
  <c r="C10"/>
  <c r="C12"/>
  <c r="C14"/>
  <c r="F14" s="1"/>
  <c r="C26"/>
  <c r="C27"/>
  <c r="C28"/>
  <c r="C29"/>
  <c r="C30"/>
  <c r="C31"/>
  <c r="C32"/>
  <c r="C6"/>
  <c r="C15"/>
  <c r="C16"/>
  <c r="C17"/>
  <c r="C18"/>
  <c r="C19"/>
  <c r="C20"/>
  <c r="C21"/>
  <c r="C22"/>
  <c r="C23"/>
  <c r="C24"/>
  <c r="D7" i="24" l="1"/>
  <c r="F673" i="25"/>
  <c r="F672"/>
  <c r="F3"/>
  <c r="F11"/>
  <c r="F669"/>
  <c r="F667"/>
  <c r="F668"/>
  <c r="F666"/>
  <c r="F665"/>
  <c r="F664"/>
  <c r="F663"/>
  <c r="F662"/>
  <c r="F657"/>
  <c r="F660"/>
  <c r="F658"/>
  <c r="F659"/>
  <c r="F661"/>
  <c r="F655"/>
  <c r="F654"/>
  <c r="F653"/>
  <c r="F651"/>
  <c r="F652"/>
  <c r="F649"/>
  <c r="F650"/>
  <c r="F648"/>
  <c r="F644"/>
  <c r="F645"/>
  <c r="F647"/>
  <c r="F643"/>
  <c r="F641"/>
  <c r="F642"/>
  <c r="F638"/>
  <c r="F640"/>
  <c r="F637"/>
  <c r="F635"/>
  <c r="F636"/>
  <c r="F633"/>
  <c r="F634"/>
  <c r="F632"/>
  <c r="F631"/>
  <c r="F629"/>
  <c r="F630"/>
  <c r="F628"/>
  <c r="F627"/>
  <c r="F626"/>
  <c r="F625"/>
  <c r="F624"/>
  <c r="F618"/>
  <c r="F621"/>
  <c r="F622"/>
  <c r="F619"/>
  <c r="F620"/>
  <c r="F617"/>
  <c r="F615"/>
  <c r="F616"/>
  <c r="F614"/>
  <c r="F613"/>
  <c r="F611"/>
  <c r="F608"/>
  <c r="F612"/>
  <c r="F610"/>
  <c r="F606"/>
  <c r="F605"/>
  <c r="F607"/>
  <c r="F604"/>
  <c r="F603"/>
  <c r="F601"/>
  <c r="F602"/>
  <c r="F600"/>
  <c r="F596"/>
  <c r="F595"/>
  <c r="F599"/>
  <c r="F594"/>
  <c r="F593"/>
  <c r="F589"/>
  <c r="F591"/>
  <c r="F587"/>
  <c r="F590"/>
  <c r="F588"/>
  <c r="F586"/>
  <c r="F585"/>
  <c r="F581"/>
  <c r="F579"/>
  <c r="F580"/>
  <c r="F583"/>
  <c r="F578"/>
  <c r="F575"/>
  <c r="F574"/>
  <c r="F577"/>
  <c r="F572"/>
  <c r="F571"/>
  <c r="F573"/>
  <c r="F570"/>
  <c r="F566"/>
  <c r="F569"/>
  <c r="F568"/>
  <c r="F564"/>
  <c r="F565"/>
  <c r="F563"/>
  <c r="F562"/>
  <c r="F561"/>
  <c r="F559"/>
  <c r="F560"/>
  <c r="F557"/>
  <c r="F555"/>
  <c r="F558"/>
  <c r="F553"/>
  <c r="F554"/>
  <c r="F552"/>
  <c r="F548"/>
  <c r="F550"/>
  <c r="F549"/>
  <c r="F546"/>
  <c r="F547"/>
  <c r="F545"/>
  <c r="F544"/>
  <c r="F542"/>
  <c r="F543"/>
  <c r="F540"/>
  <c r="F541"/>
  <c r="F539"/>
  <c r="F538"/>
  <c r="F537"/>
  <c r="F536"/>
  <c r="F535"/>
  <c r="F534"/>
  <c r="F533"/>
  <c r="F532"/>
  <c r="F526"/>
  <c r="F528"/>
  <c r="F524"/>
  <c r="F525"/>
  <c r="F527"/>
  <c r="F523"/>
  <c r="F522"/>
  <c r="F521"/>
  <c r="F518"/>
  <c r="F520"/>
  <c r="F515"/>
  <c r="F516"/>
  <c r="F517"/>
  <c r="F512"/>
  <c r="F511"/>
  <c r="F508"/>
  <c r="F510"/>
  <c r="F509"/>
  <c r="F505"/>
  <c r="F503"/>
  <c r="F499"/>
  <c r="F500"/>
  <c r="F501"/>
  <c r="F498"/>
  <c r="F496"/>
  <c r="F494"/>
  <c r="F497"/>
  <c r="F495"/>
  <c r="F490"/>
  <c r="F492"/>
  <c r="F491"/>
  <c r="F489"/>
  <c r="F485"/>
  <c r="F484"/>
  <c r="F481"/>
  <c r="F483"/>
  <c r="F480"/>
  <c r="F478"/>
  <c r="F479"/>
  <c r="F477"/>
  <c r="F476"/>
  <c r="F475"/>
  <c r="F474"/>
  <c r="F472"/>
  <c r="F471"/>
  <c r="F473"/>
  <c r="F466"/>
  <c r="F469"/>
  <c r="F467"/>
  <c r="F468"/>
  <c r="F463"/>
  <c r="F465"/>
  <c r="F462"/>
  <c r="F464"/>
  <c r="F461"/>
  <c r="F460"/>
  <c r="F455"/>
  <c r="F454"/>
  <c r="F456"/>
  <c r="F453"/>
  <c r="F450"/>
  <c r="F451"/>
  <c r="F444"/>
  <c r="F452"/>
  <c r="F448"/>
  <c r="F440"/>
  <c r="F443"/>
  <c r="F442"/>
  <c r="F439"/>
  <c r="F441"/>
  <c r="F436"/>
  <c r="F438"/>
  <c r="F437"/>
  <c r="F435"/>
  <c r="F434"/>
  <c r="F429"/>
  <c r="F432"/>
  <c r="F431"/>
  <c r="F430"/>
  <c r="F428"/>
  <c r="F427"/>
  <c r="F425"/>
  <c r="F424"/>
  <c r="F419"/>
  <c r="F426"/>
  <c r="F418"/>
  <c r="F416"/>
  <c r="F415"/>
  <c r="F412"/>
  <c r="F411"/>
  <c r="F414"/>
  <c r="F413"/>
  <c r="F398"/>
  <c r="F410"/>
  <c r="F408"/>
  <c r="F401"/>
  <c r="F403"/>
  <c r="F409"/>
  <c r="F399"/>
  <c r="F397"/>
  <c r="F400"/>
  <c r="F394"/>
  <c r="F395"/>
  <c r="F389"/>
  <c r="F387"/>
  <c r="F393"/>
  <c r="F385"/>
  <c r="F383"/>
  <c r="F384"/>
  <c r="F382"/>
  <c r="F373"/>
  <c r="F378"/>
  <c r="F364"/>
  <c r="F381"/>
  <c r="F359"/>
  <c r="F362"/>
  <c r="F361"/>
  <c r="F358"/>
  <c r="F360"/>
  <c r="F351"/>
  <c r="F353"/>
  <c r="F352"/>
  <c r="F357"/>
  <c r="F348"/>
  <c r="F350"/>
  <c r="F349"/>
  <c r="F347"/>
  <c r="F342"/>
  <c r="F340"/>
  <c r="F339"/>
  <c r="F338"/>
  <c r="F337"/>
  <c r="F324"/>
  <c r="F331"/>
  <c r="F332"/>
  <c r="F330"/>
  <c r="F336"/>
  <c r="F329"/>
  <c r="F325"/>
  <c r="F328"/>
  <c r="F327"/>
  <c r="F326"/>
  <c r="F323"/>
  <c r="F322"/>
  <c r="F319"/>
  <c r="F316"/>
  <c r="F317"/>
  <c r="F315"/>
  <c r="F318"/>
  <c r="F321"/>
  <c r="F311"/>
  <c r="F312"/>
  <c r="F310"/>
  <c r="F302"/>
  <c r="F306"/>
  <c r="F308"/>
  <c r="F309"/>
  <c r="F305"/>
  <c r="F307"/>
  <c r="F301"/>
  <c r="F298"/>
  <c r="F297"/>
  <c r="F300"/>
  <c r="F299"/>
  <c r="F288"/>
  <c r="F296"/>
  <c r="F293"/>
  <c r="F295"/>
  <c r="F294"/>
  <c r="F290"/>
  <c r="F287"/>
  <c r="F292"/>
  <c r="F285"/>
  <c r="F284"/>
  <c r="F283"/>
  <c r="F286"/>
  <c r="F282"/>
  <c r="F268"/>
  <c r="F264"/>
  <c r="F275"/>
  <c r="F272"/>
  <c r="F266"/>
  <c r="F281"/>
  <c r="F274"/>
  <c r="F261"/>
  <c r="F263"/>
  <c r="F260"/>
  <c r="F259"/>
  <c r="F262"/>
  <c r="F257"/>
  <c r="F256"/>
  <c r="F252"/>
  <c r="F251"/>
  <c r="F250"/>
  <c r="F249"/>
  <c r="F238"/>
  <c r="F247"/>
  <c r="F248"/>
  <c r="F234"/>
  <c r="F232"/>
  <c r="F239"/>
  <c r="F240"/>
  <c r="F228"/>
  <c r="F227"/>
  <c r="F230"/>
  <c r="F229"/>
  <c r="F226"/>
  <c r="F208"/>
  <c r="F222"/>
  <c r="F225"/>
  <c r="F205"/>
  <c r="F204"/>
  <c r="F212"/>
  <c r="F213"/>
  <c r="F199"/>
  <c r="F200"/>
  <c r="F202"/>
  <c r="F198"/>
  <c r="F201"/>
  <c r="F193"/>
  <c r="F194"/>
  <c r="F195"/>
  <c r="F192"/>
  <c r="F189"/>
  <c r="F191"/>
  <c r="F188"/>
  <c r="F187"/>
  <c r="F184"/>
  <c r="F183"/>
  <c r="F186"/>
  <c r="F185"/>
  <c r="F182"/>
  <c r="F181"/>
  <c r="F173"/>
  <c r="F178"/>
  <c r="F170"/>
  <c r="F177"/>
  <c r="F172"/>
  <c r="F166"/>
  <c r="F165"/>
  <c r="F168"/>
  <c r="F164"/>
  <c r="F167"/>
  <c r="F148"/>
  <c r="F151"/>
  <c r="F155"/>
  <c r="F145"/>
  <c r="F150"/>
  <c r="F153"/>
  <c r="F146"/>
  <c r="F160"/>
  <c r="F149"/>
  <c r="F144"/>
  <c r="F136"/>
  <c r="F142"/>
  <c r="F141"/>
  <c r="F140"/>
  <c r="F137"/>
  <c r="F138"/>
  <c r="F139"/>
  <c r="F135"/>
  <c r="F132"/>
  <c r="F131"/>
  <c r="F134"/>
  <c r="F130"/>
  <c r="F126"/>
  <c r="F125"/>
  <c r="F128"/>
  <c r="F127"/>
  <c r="F123"/>
  <c r="F108"/>
  <c r="F122"/>
  <c r="F116"/>
  <c r="F120"/>
  <c r="F113"/>
  <c r="F119"/>
  <c r="F111"/>
  <c r="F110"/>
  <c r="F109"/>
  <c r="F107"/>
  <c r="F106"/>
  <c r="F94"/>
  <c r="F93"/>
  <c r="F92"/>
  <c r="F101"/>
  <c r="F104"/>
  <c r="F105"/>
  <c r="F96"/>
  <c r="F98"/>
  <c r="F87"/>
  <c r="F91"/>
  <c r="F89"/>
  <c r="F88"/>
  <c r="F83"/>
  <c r="F80"/>
  <c r="F76"/>
  <c r="F82"/>
  <c r="F77"/>
  <c r="F85"/>
  <c r="F86"/>
  <c r="F81"/>
  <c r="F79"/>
  <c r="F75"/>
  <c r="F73"/>
  <c r="F74"/>
  <c r="F71"/>
  <c r="F69"/>
  <c r="F68"/>
  <c r="F72"/>
  <c r="F67"/>
  <c r="F65"/>
  <c r="F66"/>
  <c r="F64"/>
  <c r="F63"/>
  <c r="F61"/>
  <c r="F57"/>
  <c r="F60"/>
  <c r="F56"/>
  <c r="F59"/>
  <c r="F55"/>
  <c r="F53"/>
  <c r="F54"/>
  <c r="F50"/>
  <c r="F51"/>
  <c r="F48"/>
  <c r="F49"/>
  <c r="F46"/>
  <c r="F41"/>
  <c r="F44"/>
  <c r="F43"/>
  <c r="F42"/>
  <c r="F39"/>
  <c r="F38"/>
  <c r="F37"/>
  <c r="E104" i="33"/>
  <c r="P117"/>
  <c r="P118" s="1"/>
  <c r="P119" s="1"/>
  <c r="O117"/>
  <c r="O118" s="1"/>
  <c r="O119" s="1"/>
  <c r="N117"/>
  <c r="M117"/>
  <c r="L117"/>
  <c r="L118" s="1"/>
  <c r="L119" s="1"/>
  <c r="K117"/>
  <c r="J117"/>
  <c r="I117"/>
  <c r="H117"/>
  <c r="G117"/>
  <c r="F117"/>
  <c r="D104"/>
  <c r="E63"/>
  <c r="E64"/>
  <c r="E65"/>
  <c r="D63"/>
  <c r="D67"/>
  <c r="D64"/>
  <c r="D65"/>
  <c r="E67"/>
  <c r="F70"/>
  <c r="F71" s="1"/>
  <c r="D15"/>
  <c r="E15"/>
  <c r="D14"/>
  <c r="D13"/>
  <c r="D12"/>
  <c r="D17"/>
  <c r="D16"/>
  <c r="E13"/>
  <c r="E12"/>
  <c r="E17"/>
  <c r="E16"/>
  <c r="E14"/>
  <c r="J88" i="32"/>
  <c r="J123"/>
  <c r="G9" i="24"/>
  <c r="E10"/>
  <c r="G11"/>
  <c r="G19"/>
  <c r="E20"/>
  <c r="G21"/>
  <c r="E22"/>
  <c r="B22" s="1"/>
  <c r="G23"/>
  <c r="E28"/>
  <c r="B28" s="1"/>
  <c r="G29"/>
  <c r="E30"/>
  <c r="B30" s="1"/>
  <c r="G31"/>
  <c r="E32"/>
  <c r="B32" s="1"/>
  <c r="G33"/>
  <c r="E36"/>
  <c r="B36" s="1"/>
  <c r="G37"/>
  <c r="E38"/>
  <c r="B38" s="1"/>
  <c r="E39"/>
  <c r="B39" s="1"/>
  <c r="G44"/>
  <c r="E45"/>
  <c r="B45" s="1"/>
  <c r="G46"/>
  <c r="G49"/>
  <c r="E50"/>
  <c r="B50" s="1"/>
  <c r="G53"/>
  <c r="G8" i="22"/>
  <c r="G7"/>
  <c r="E9" i="24"/>
  <c r="B9" s="1"/>
  <c r="G10"/>
  <c r="E11"/>
  <c r="B11" s="1"/>
  <c r="E19"/>
  <c r="G20"/>
  <c r="E21"/>
  <c r="B21" s="1"/>
  <c r="G22"/>
  <c r="E23"/>
  <c r="B23" s="1"/>
  <c r="G28"/>
  <c r="E29"/>
  <c r="B29" s="1"/>
  <c r="G30"/>
  <c r="E31"/>
  <c r="B31" s="1"/>
  <c r="G32"/>
  <c r="E33"/>
  <c r="B33" s="1"/>
  <c r="G36"/>
  <c r="E37"/>
  <c r="B37" s="1"/>
  <c r="G39"/>
  <c r="E44"/>
  <c r="B44" s="1"/>
  <c r="G45"/>
  <c r="E46"/>
  <c r="B46" s="1"/>
  <c r="E49"/>
  <c r="B49" s="1"/>
  <c r="G50"/>
  <c r="E53"/>
  <c r="B53" s="1"/>
  <c r="B19"/>
  <c r="E54"/>
  <c r="B54" s="1"/>
  <c r="G55"/>
  <c r="F29" i="25"/>
  <c r="F23"/>
  <c r="F30"/>
  <c r="J27" i="32"/>
  <c r="L27" s="1"/>
  <c r="J25"/>
  <c r="L25" s="1"/>
  <c r="J23"/>
  <c r="L23" s="1"/>
  <c r="J21"/>
  <c r="L21" s="1"/>
  <c r="J19"/>
  <c r="L19" s="1"/>
  <c r="J17"/>
  <c r="L17" s="1"/>
  <c r="J15"/>
  <c r="L15" s="1"/>
  <c r="J13"/>
  <c r="L13" s="1"/>
  <c r="J7"/>
  <c r="L7" s="1"/>
  <c r="J8"/>
  <c r="L8" s="1"/>
  <c r="J9"/>
  <c r="L9" s="1"/>
  <c r="J10"/>
  <c r="L10" s="1"/>
  <c r="J28"/>
  <c r="L28" s="1"/>
  <c r="J26"/>
  <c r="L26" s="1"/>
  <c r="J24"/>
  <c r="L24" s="1"/>
  <c r="J22"/>
  <c r="L22" s="1"/>
  <c r="J20"/>
  <c r="L20" s="1"/>
  <c r="J18"/>
  <c r="L18" s="1"/>
  <c r="J16"/>
  <c r="L16" s="1"/>
  <c r="J14"/>
  <c r="L14" s="1"/>
  <c r="J12"/>
  <c r="L12" s="1"/>
  <c r="H57"/>
  <c r="J6"/>
  <c r="E6" i="24"/>
  <c r="B6" s="1"/>
  <c r="G7"/>
  <c r="E8"/>
  <c r="B8" s="1"/>
  <c r="D9"/>
  <c r="H9"/>
  <c r="F10"/>
  <c r="D11"/>
  <c r="H11"/>
  <c r="E12"/>
  <c r="B12" s="1"/>
  <c r="G13"/>
  <c r="E14"/>
  <c r="B14" s="1"/>
  <c r="G15"/>
  <c r="E16"/>
  <c r="B16" s="1"/>
  <c r="G17"/>
  <c r="E18"/>
  <c r="B18" s="1"/>
  <c r="D19"/>
  <c r="H19"/>
  <c r="F20"/>
  <c r="D21"/>
  <c r="H21"/>
  <c r="F22"/>
  <c r="D23"/>
  <c r="H23"/>
  <c r="E24"/>
  <c r="B24" s="1"/>
  <c r="G25"/>
  <c r="E26"/>
  <c r="B26" s="1"/>
  <c r="G27"/>
  <c r="F28"/>
  <c r="D29"/>
  <c r="H29"/>
  <c r="F30"/>
  <c r="D31"/>
  <c r="H31"/>
  <c r="F32"/>
  <c r="D33"/>
  <c r="H33"/>
  <c r="E34"/>
  <c r="B34" s="1"/>
  <c r="G35"/>
  <c r="F36"/>
  <c r="D37"/>
  <c r="H37"/>
  <c r="F38"/>
  <c r="F39"/>
  <c r="G40"/>
  <c r="E41"/>
  <c r="B41" s="1"/>
  <c r="G42"/>
  <c r="E43"/>
  <c r="B43" s="1"/>
  <c r="D44"/>
  <c r="H44"/>
  <c r="F45"/>
  <c r="D46"/>
  <c r="H46"/>
  <c r="E47"/>
  <c r="B47" s="1"/>
  <c r="E48"/>
  <c r="B48" s="1"/>
  <c r="D49"/>
  <c r="H49"/>
  <c r="F50"/>
  <c r="G51"/>
  <c r="E52"/>
  <c r="B52" s="1"/>
  <c r="D53"/>
  <c r="H53"/>
  <c r="F54"/>
  <c r="D55"/>
  <c r="H55"/>
  <c r="J35" i="32"/>
  <c r="L35" s="1"/>
  <c r="J31"/>
  <c r="L31" s="1"/>
  <c r="J39"/>
  <c r="L39" s="1"/>
  <c r="G57"/>
  <c r="J40"/>
  <c r="L40" s="1"/>
  <c r="J42"/>
  <c r="L42" s="1"/>
  <c r="J44"/>
  <c r="L44" s="1"/>
  <c r="J46"/>
  <c r="L46" s="1"/>
  <c r="J48"/>
  <c r="L48" s="1"/>
  <c r="J50"/>
  <c r="L50" s="1"/>
  <c r="J52"/>
  <c r="L52" s="1"/>
  <c r="J54"/>
  <c r="L54" s="1"/>
  <c r="J36"/>
  <c r="L36" s="1"/>
  <c r="J32"/>
  <c r="L32" s="1"/>
  <c r="J11"/>
  <c r="L11" s="1"/>
  <c r="G38" i="24"/>
  <c r="H38"/>
  <c r="G47"/>
  <c r="H47"/>
  <c r="I128" i="32"/>
  <c r="G128"/>
  <c r="I127"/>
  <c r="I132" s="1"/>
  <c r="G127"/>
  <c r="G132" s="1"/>
  <c r="H128"/>
  <c r="H127"/>
  <c r="F27" i="25"/>
  <c r="F26"/>
  <c r="F18"/>
  <c r="F31"/>
  <c r="B10" i="24"/>
  <c r="A10" s="1"/>
  <c r="B20"/>
  <c r="G6"/>
  <c r="E7"/>
  <c r="B7" s="1"/>
  <c r="G8"/>
  <c r="F9"/>
  <c r="D10"/>
  <c r="H10"/>
  <c r="F11"/>
  <c r="G12"/>
  <c r="E13"/>
  <c r="B13" s="1"/>
  <c r="G14"/>
  <c r="E15"/>
  <c r="B15" s="1"/>
  <c r="G16"/>
  <c r="E17"/>
  <c r="B17" s="1"/>
  <c r="G18"/>
  <c r="F19"/>
  <c r="D20"/>
  <c r="H20"/>
  <c r="F21"/>
  <c r="D22"/>
  <c r="H22"/>
  <c r="F23"/>
  <c r="G24"/>
  <c r="E25"/>
  <c r="B25" s="1"/>
  <c r="G26"/>
  <c r="E27"/>
  <c r="B27" s="1"/>
  <c r="D28"/>
  <c r="H28"/>
  <c r="F29"/>
  <c r="D30"/>
  <c r="H30"/>
  <c r="F31"/>
  <c r="D32"/>
  <c r="H32"/>
  <c r="F33"/>
  <c r="G34"/>
  <c r="E35"/>
  <c r="B35" s="1"/>
  <c r="D36"/>
  <c r="H36"/>
  <c r="F37"/>
  <c r="D38"/>
  <c r="D39"/>
  <c r="H39"/>
  <c r="E40"/>
  <c r="B40" s="1"/>
  <c r="G41"/>
  <c r="E42"/>
  <c r="B42" s="1"/>
  <c r="G43"/>
  <c r="F44"/>
  <c r="D45"/>
  <c r="H45"/>
  <c r="F46"/>
  <c r="G48"/>
  <c r="F49"/>
  <c r="D50"/>
  <c r="H50"/>
  <c r="E51"/>
  <c r="B51" s="1"/>
  <c r="G52"/>
  <c r="F53"/>
  <c r="G54"/>
  <c r="E55"/>
  <c r="B55" s="1"/>
  <c r="D54"/>
  <c r="H54"/>
  <c r="F55"/>
  <c r="J37" i="32"/>
  <c r="L37" s="1"/>
  <c r="J33"/>
  <c r="L33" s="1"/>
  <c r="J29"/>
  <c r="L29" s="1"/>
  <c r="I57"/>
  <c r="J41"/>
  <c r="L41" s="1"/>
  <c r="J43"/>
  <c r="L43" s="1"/>
  <c r="J45"/>
  <c r="L45" s="1"/>
  <c r="J47"/>
  <c r="L47" s="1"/>
  <c r="J49"/>
  <c r="L49" s="1"/>
  <c r="J51"/>
  <c r="L51" s="1"/>
  <c r="J53"/>
  <c r="L53" s="1"/>
  <c r="J55"/>
  <c r="L55" s="1"/>
  <c r="J38"/>
  <c r="L38" s="1"/>
  <c r="J34"/>
  <c r="L34" s="1"/>
  <c r="J30"/>
  <c r="L30" s="1"/>
  <c r="F32" i="25"/>
  <c r="F22"/>
  <c r="F20"/>
  <c r="F17"/>
  <c r="F16"/>
  <c r="F12"/>
  <c r="F10"/>
  <c r="F5"/>
  <c r="F35"/>
  <c r="I8" i="22"/>
  <c r="E371" i="23"/>
  <c r="I7" i="22"/>
  <c r="D371" i="23"/>
  <c r="J133" i="24"/>
  <c r="I133" s="1"/>
  <c r="J123"/>
  <c r="J88"/>
  <c r="F28" i="25"/>
  <c r="F21"/>
  <c r="F36"/>
  <c r="F24"/>
  <c r="D70" i="33" l="1"/>
  <c r="E70"/>
  <c r="M118"/>
  <c r="M119" s="1"/>
  <c r="F118"/>
  <c r="H118"/>
  <c r="H119" s="1"/>
  <c r="J118"/>
  <c r="J119"/>
  <c r="D117"/>
  <c r="E117"/>
  <c r="D84"/>
  <c r="H70"/>
  <c r="H71" s="1"/>
  <c r="H72" s="1"/>
  <c r="E84"/>
  <c r="E44"/>
  <c r="D44"/>
  <c r="G11" i="22"/>
  <c r="G16" s="1"/>
  <c r="I14" s="1"/>
  <c r="I11"/>
  <c r="H57" i="24"/>
  <c r="H87" s="1"/>
  <c r="H132" i="32"/>
  <c r="G128" i="24"/>
  <c r="G127"/>
  <c r="H128"/>
  <c r="H127"/>
  <c r="H87" i="32"/>
  <c r="H122"/>
  <c r="J57"/>
  <c r="G57" i="24"/>
  <c r="J127" i="32"/>
  <c r="J128"/>
  <c r="I87"/>
  <c r="I122"/>
  <c r="D71" i="33" l="1"/>
  <c r="D72" s="1"/>
  <c r="D118"/>
  <c r="D119" s="1"/>
  <c r="J70"/>
  <c r="D45"/>
  <c r="D46" s="1"/>
  <c r="D47" s="1"/>
  <c r="I16" i="22"/>
  <c r="I20" s="1"/>
  <c r="G20" s="1"/>
  <c r="H132" i="24"/>
  <c r="G132"/>
  <c r="J132" i="32"/>
  <c r="J87"/>
  <c r="J122"/>
  <c r="I55" i="24"/>
  <c r="J55" s="1"/>
  <c r="L55" s="1"/>
  <c r="I28"/>
  <c r="J28" s="1"/>
  <c r="L28" s="1"/>
  <c r="I36"/>
  <c r="J36" s="1"/>
  <c r="L36" s="1"/>
  <c r="I19"/>
  <c r="J19" s="1"/>
  <c r="L19" s="1"/>
  <c r="I49"/>
  <c r="J49" s="1"/>
  <c r="L49" s="1"/>
  <c r="I45"/>
  <c r="J45" s="1"/>
  <c r="L45" s="1"/>
  <c r="I20"/>
  <c r="J20" s="1"/>
  <c r="L20" s="1"/>
  <c r="I32"/>
  <c r="J32" s="1"/>
  <c r="L32" s="1"/>
  <c r="I11"/>
  <c r="J11" s="1"/>
  <c r="L11" s="1"/>
  <c r="I31"/>
  <c r="J31" s="1"/>
  <c r="L31" s="1"/>
  <c r="I53"/>
  <c r="J53" s="1"/>
  <c r="L53" s="1"/>
  <c r="I10"/>
  <c r="J10" s="1"/>
  <c r="L10" s="1"/>
  <c r="I30"/>
  <c r="J30" s="1"/>
  <c r="L30" s="1"/>
  <c r="I54"/>
  <c r="J54" s="1"/>
  <c r="L54" s="1"/>
  <c r="I21"/>
  <c r="J21" s="1"/>
  <c r="L21" s="1"/>
  <c r="I37"/>
  <c r="J37" s="1"/>
  <c r="L37" s="1"/>
  <c r="I9"/>
  <c r="J9" s="1"/>
  <c r="L9" s="1"/>
  <c r="I22"/>
  <c r="J22" s="1"/>
  <c r="L22" s="1"/>
  <c r="I29"/>
  <c r="J29" s="1"/>
  <c r="L29" s="1"/>
  <c r="I44"/>
  <c r="J44" s="1"/>
  <c r="L44" s="1"/>
  <c r="I24"/>
  <c r="J24" s="1"/>
  <c r="L24" s="1"/>
  <c r="I14"/>
  <c r="J14" s="1"/>
  <c r="L14" s="1"/>
  <c r="I51"/>
  <c r="J51" s="1"/>
  <c r="L51" s="1"/>
  <c r="I40"/>
  <c r="J40" s="1"/>
  <c r="L40" s="1"/>
  <c r="I17"/>
  <c r="J17" s="1"/>
  <c r="L17" s="1"/>
  <c r="I13"/>
  <c r="J13" s="1"/>
  <c r="L13" s="1"/>
  <c r="I41"/>
  <c r="J41" s="1"/>
  <c r="L41" s="1"/>
  <c r="I34"/>
  <c r="J34" s="1"/>
  <c r="L34" s="1"/>
  <c r="I26"/>
  <c r="J26" s="1"/>
  <c r="L26" s="1"/>
  <c r="I16"/>
  <c r="J16" s="1"/>
  <c r="I12"/>
  <c r="J12" s="1"/>
  <c r="L12" s="1"/>
  <c r="I8"/>
  <c r="J8" s="1"/>
  <c r="I15"/>
  <c r="J15" s="1"/>
  <c r="L15" s="1"/>
  <c r="I42"/>
  <c r="J42" s="1"/>
  <c r="L42" s="1"/>
  <c r="I25"/>
  <c r="J25" s="1"/>
  <c r="L25" s="1"/>
  <c r="I7"/>
  <c r="J7" s="1"/>
  <c r="L7" s="1"/>
  <c r="I43"/>
  <c r="J43" s="1"/>
  <c r="L43" s="1"/>
  <c r="I35"/>
  <c r="J35" s="1"/>
  <c r="L35" s="1"/>
  <c r="I52"/>
  <c r="J52" s="1"/>
  <c r="L52" s="1"/>
  <c r="I48"/>
  <c r="J48" s="1"/>
  <c r="L48" s="1"/>
  <c r="I38"/>
  <c r="J38" s="1"/>
  <c r="L38" s="1"/>
  <c r="I18"/>
  <c r="J18" s="1"/>
  <c r="L18" s="1"/>
  <c r="I47"/>
  <c r="J47" s="1"/>
  <c r="L47" s="1"/>
  <c r="I27"/>
  <c r="J27" s="1"/>
  <c r="L27" s="1"/>
  <c r="I50"/>
  <c r="J50" s="1"/>
  <c r="L50" s="1"/>
  <c r="I46"/>
  <c r="J46" s="1"/>
  <c r="I39"/>
  <c r="J39" s="1"/>
  <c r="L39" s="1"/>
  <c r="I33"/>
  <c r="J33" s="1"/>
  <c r="L33" s="1"/>
  <c r="I23"/>
  <c r="I6"/>
  <c r="J6" s="1"/>
  <c r="H122"/>
  <c r="D6" i="32"/>
  <c r="D7"/>
  <c r="D8"/>
  <c r="D9"/>
  <c r="D10"/>
  <c r="J71" i="33" l="1"/>
  <c r="J72"/>
  <c r="D73" s="1"/>
  <c r="L70"/>
  <c r="L71" s="1"/>
  <c r="L72" s="1"/>
  <c r="I128" i="24"/>
  <c r="I127"/>
  <c r="I57"/>
  <c r="L8"/>
  <c r="L16"/>
  <c r="I63"/>
  <c r="I64"/>
  <c r="J64" s="1"/>
  <c r="L64" s="1"/>
  <c r="I65"/>
  <c r="J65" s="1"/>
  <c r="L65" s="1"/>
  <c r="I66"/>
  <c r="J66" s="1"/>
  <c r="L66" s="1"/>
  <c r="I67"/>
  <c r="J67" s="1"/>
  <c r="L67" s="1"/>
  <c r="I68"/>
  <c r="J68" s="1"/>
  <c r="L68" s="1"/>
  <c r="I69"/>
  <c r="J69" s="1"/>
  <c r="L69" s="1"/>
  <c r="I70"/>
  <c r="J70" s="1"/>
  <c r="L70" s="1"/>
  <c r="I71"/>
  <c r="J71" s="1"/>
  <c r="L71" s="1"/>
  <c r="I72"/>
  <c r="J72" s="1"/>
  <c r="L72" s="1"/>
  <c r="I73"/>
  <c r="J73" s="1"/>
  <c r="L73" s="1"/>
  <c r="I74"/>
  <c r="J74" s="1"/>
  <c r="L74" s="1"/>
  <c r="I75"/>
  <c r="J75" s="1"/>
  <c r="L75" s="1"/>
  <c r="I76"/>
  <c r="J76" s="1"/>
  <c r="L76" s="1"/>
  <c r="I77"/>
  <c r="J77" s="1"/>
  <c r="L77" s="1"/>
  <c r="I78"/>
  <c r="J78" s="1"/>
  <c r="L78" s="1"/>
  <c r="I79"/>
  <c r="J79" s="1"/>
  <c r="L79" s="1"/>
  <c r="I80"/>
  <c r="J80" s="1"/>
  <c r="L80" s="1"/>
  <c r="I81"/>
  <c r="J81" s="1"/>
  <c r="L81" s="1"/>
  <c r="I82"/>
  <c r="J82" s="1"/>
  <c r="L82" s="1"/>
  <c r="I93"/>
  <c r="J93" s="1"/>
  <c r="I94"/>
  <c r="J94" s="1"/>
  <c r="L94" s="1"/>
  <c r="I95"/>
  <c r="J95" s="1"/>
  <c r="L95" s="1"/>
  <c r="I96"/>
  <c r="J96" s="1"/>
  <c r="L96" s="1"/>
  <c r="I97"/>
  <c r="J97" s="1"/>
  <c r="L97" s="1"/>
  <c r="I98"/>
  <c r="J98" s="1"/>
  <c r="L98" s="1"/>
  <c r="I99"/>
  <c r="J99" s="1"/>
  <c r="L99" s="1"/>
  <c r="I100"/>
  <c r="J100" s="1"/>
  <c r="L100" s="1"/>
  <c r="I101"/>
  <c r="J101" s="1"/>
  <c r="L101" s="1"/>
  <c r="I102"/>
  <c r="J102" s="1"/>
  <c r="L102" s="1"/>
  <c r="I103"/>
  <c r="J103" s="1"/>
  <c r="L103" s="1"/>
  <c r="I104"/>
  <c r="J104" s="1"/>
  <c r="L104" s="1"/>
  <c r="I105"/>
  <c r="J105" s="1"/>
  <c r="L105" s="1"/>
  <c r="I106"/>
  <c r="J106" s="1"/>
  <c r="L106" s="1"/>
  <c r="I107"/>
  <c r="J107" s="1"/>
  <c r="L107" s="1"/>
  <c r="I108"/>
  <c r="J108" s="1"/>
  <c r="L108" s="1"/>
  <c r="I109"/>
  <c r="J109" s="1"/>
  <c r="L109" s="1"/>
  <c r="I110"/>
  <c r="J110" s="1"/>
  <c r="L110" s="1"/>
  <c r="I111"/>
  <c r="J111" s="1"/>
  <c r="L111" s="1"/>
  <c r="I112"/>
  <c r="J112" s="1"/>
  <c r="L112" s="1"/>
  <c r="I113"/>
  <c r="J113" s="1"/>
  <c r="L113" s="1"/>
  <c r="I114"/>
  <c r="J114" s="1"/>
  <c r="L114" s="1"/>
  <c r="I115"/>
  <c r="J115" s="1"/>
  <c r="L115" s="1"/>
  <c r="I116"/>
  <c r="J116" s="1"/>
  <c r="L116" s="1"/>
  <c r="I117"/>
  <c r="J117" s="1"/>
  <c r="L117" s="1"/>
  <c r="J23"/>
  <c r="J57" s="1"/>
  <c r="L46"/>
  <c r="J127" l="1"/>
  <c r="J128"/>
  <c r="P70" i="33"/>
  <c r="P71" s="1"/>
  <c r="P72" s="1"/>
  <c r="N70"/>
  <c r="M71" s="1"/>
  <c r="M72" s="1"/>
  <c r="L23" i="24"/>
  <c r="I84"/>
  <c r="I87" s="1"/>
  <c r="J63"/>
  <c r="J84" s="1"/>
  <c r="J87" s="1"/>
  <c r="I119"/>
  <c r="I131" s="1"/>
  <c r="J119"/>
  <c r="J131" s="1"/>
  <c r="I129"/>
  <c r="L73" i="33" l="1"/>
  <c r="I122" i="24"/>
  <c r="I132"/>
  <c r="J122"/>
  <c r="J129"/>
  <c r="J132" s="1"/>
  <c r="O90" i="33" l="1"/>
  <c r="O91" s="1"/>
  <c r="O92" s="1"/>
  <c r="M90"/>
  <c r="K90"/>
  <c r="I90"/>
  <c r="G90"/>
  <c r="E90"/>
  <c r="P90"/>
  <c r="P91" s="1"/>
  <c r="P92" s="1"/>
  <c r="N90"/>
  <c r="L90"/>
  <c r="L91" s="1"/>
  <c r="L92" s="1"/>
  <c r="J90"/>
  <c r="H90"/>
  <c r="F90"/>
  <c r="D90"/>
  <c r="H91" l="1"/>
  <c r="H92" s="1"/>
  <c r="D91"/>
  <c r="F91"/>
  <c r="J91"/>
  <c r="J92"/>
  <c r="M91"/>
  <c r="M92" s="1"/>
  <c r="L93" s="1"/>
  <c r="D92" l="1"/>
  <c r="D93" s="1"/>
  <c r="D11" i="32" l="1"/>
  <c r="D12"/>
  <c r="D14"/>
</calcChain>
</file>

<file path=xl/comments1.xml><?xml version="1.0" encoding="utf-8"?>
<comments xmlns="http://schemas.openxmlformats.org/spreadsheetml/2006/main">
  <authors>
    <author>rudi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kalau digunakan pada awal tahun berarti no doc direset jadi nomornya di 0 (Nol) kan saja</t>
        </r>
      </text>
    </comment>
    <comment ref="F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kalau digunakan pada awal tahun berarti no doc direset jadi nomornya di 0 (Nol) kan saja</t>
        </r>
      </text>
    </commen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kalau digunakan pada awal tahun berarti no doc direset jadi nomornya di 0 (Nol) kan saja</t>
        </r>
      </text>
    </comment>
  </commentList>
</comments>
</file>

<file path=xl/comments2.xml><?xml version="1.0" encoding="utf-8"?>
<comments xmlns="http://schemas.openxmlformats.org/spreadsheetml/2006/main">
  <authors>
    <author>rudi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CUKUP INPUT DATA PADA COLUM HIJAU</t>
        </r>
      </text>
    </comment>
  </commentList>
</comments>
</file>

<file path=xl/comments3.xml><?xml version="1.0" encoding="utf-8"?>
<comments xmlns="http://schemas.openxmlformats.org/spreadsheetml/2006/main">
  <authors>
    <author>rudi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CUKUP INPUT DATA PADA COLUM HIJAU</t>
        </r>
      </text>
    </comment>
  </commentList>
</comments>
</file>

<file path=xl/comments4.xml><?xml version="1.0" encoding="utf-8"?>
<comments xmlns="http://schemas.openxmlformats.org/spreadsheetml/2006/main">
  <authors>
    <author>rudi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CUKUP INPUT DATA PADA COLUM HIJAU</t>
        </r>
      </text>
    </comment>
  </commentList>
</comments>
</file>

<file path=xl/comments5.xml><?xml version="1.0" encoding="utf-8"?>
<comments xmlns="http://schemas.openxmlformats.org/spreadsheetml/2006/main">
  <authors>
    <author>rudi</author>
  </authors>
  <commentList>
    <comment ref="P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Q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</commentList>
</comments>
</file>

<file path=xl/comments6.xml><?xml version="1.0" encoding="utf-8"?>
<comments xmlns="http://schemas.openxmlformats.org/spreadsheetml/2006/main">
  <authors>
    <author>rudi</author>
    <author>umroh</author>
  </authors>
  <commentList>
    <comment ref="M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dirumuskan berdasarkan tanggal terima bahan baku.</t>
        </r>
      </text>
    </comment>
    <comment ref="C25" authorId="1">
      <text>
        <r>
          <rPr>
            <b/>
            <sz val="8"/>
            <color indexed="81"/>
            <rFont val="Tahoma"/>
            <family val="2"/>
          </rPr>
          <t>umroh:</t>
        </r>
        <r>
          <rPr>
            <sz val="8"/>
            <color indexed="81"/>
            <rFont val="Tahoma"/>
            <family val="2"/>
          </rPr>
          <t xml:space="preserve">
sortiran KB B dari silo reject RMP</t>
        </r>
      </text>
    </comment>
    <comment ref="D42" authorId="1">
      <text>
        <r>
          <rPr>
            <b/>
            <sz val="8"/>
            <color indexed="81"/>
            <rFont val="Tahoma"/>
            <family val="2"/>
          </rPr>
          <t>umroh:</t>
        </r>
        <r>
          <rPr>
            <sz val="8"/>
            <color indexed="81"/>
            <rFont val="Tahoma"/>
            <family val="2"/>
          </rPr>
          <t xml:space="preserve">
kopra/daging kelapa putih</t>
        </r>
      </text>
    </comment>
  </commentList>
</comments>
</file>

<file path=xl/comments7.xml><?xml version="1.0" encoding="utf-8"?>
<comments xmlns="http://schemas.openxmlformats.org/spreadsheetml/2006/main">
  <authors>
    <author>rudi</author>
  </authors>
  <commentList>
    <comment ref="L2" authorId="0">
      <text>
        <r>
          <rPr>
            <b/>
            <sz val="14"/>
            <color indexed="81"/>
            <rFont val="Tahoma"/>
            <family val="2"/>
          </rPr>
          <t>rudi:</t>
        </r>
        <r>
          <rPr>
            <sz val="14"/>
            <color indexed="81"/>
            <rFont val="Tahoma"/>
            <family val="2"/>
          </rPr>
          <t xml:space="preserve">
FORMULA SENSITIF, JIKA TERUBAH MAKA COPY RUMUS YANG ADA DICELL ATAS ATAU BAWAH.
ATUR FILTER SECARA MANUAL UNTUK MENYESUAIKAN DATA.</t>
        </r>
      </text>
    </comment>
  </commentList>
</comments>
</file>

<file path=xl/comments8.xml><?xml version="1.0" encoding="utf-8"?>
<comments xmlns="http://schemas.openxmlformats.org/spreadsheetml/2006/main">
  <authors>
    <author>rudi</author>
  </authors>
  <commentList>
    <comment ref="L2" authorId="0">
      <text>
        <r>
          <rPr>
            <b/>
            <sz val="14"/>
            <color indexed="81"/>
            <rFont val="Tahoma"/>
            <family val="2"/>
          </rPr>
          <t>rudi:</t>
        </r>
        <r>
          <rPr>
            <sz val="14"/>
            <color indexed="81"/>
            <rFont val="Tahoma"/>
            <family val="2"/>
          </rPr>
          <t xml:space="preserve">
FORMULA SENSITIF, JIKA TERUBAH MAKA COPY RUMUS YANG ADA DICELL ATAS ATAU BAWAH.
ATUR FILTER SECARA MANUAL UNTUK MENYESUAIKAN DATA.</t>
        </r>
      </text>
    </comment>
  </commentList>
</comments>
</file>

<file path=xl/comments9.xml><?xml version="1.0" encoding="utf-8"?>
<comments xmlns="http://schemas.openxmlformats.org/spreadsheetml/2006/main">
  <authors>
    <author>rudi</author>
  </authors>
  <commentList>
    <comment ref="P7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P57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P79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P99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</commentList>
</comments>
</file>

<file path=xl/sharedStrings.xml><?xml version="1.0" encoding="utf-8"?>
<sst xmlns="http://schemas.openxmlformats.org/spreadsheetml/2006/main" count="2323" uniqueCount="463">
  <si>
    <t>PT. ISK</t>
  </si>
  <si>
    <t>PT. INHIL SARIMAS KELAPA</t>
  </si>
  <si>
    <t>JUDUL</t>
  </si>
  <si>
    <t>LAPORAN HARIAN TERIMA BAHAN BAKU</t>
  </si>
  <si>
    <t>Uraian</t>
  </si>
  <si>
    <t>Hari ini ( Today )</t>
  </si>
  <si>
    <t>Akm</t>
  </si>
  <si>
    <t>1.  Kelapa Bulat</t>
  </si>
  <si>
    <t>1.1</t>
  </si>
  <si>
    <t>1.2</t>
  </si>
  <si>
    <t>Hari ini</t>
  </si>
  <si>
    <t>Netto 1</t>
  </si>
  <si>
    <t>% Kadar Air</t>
  </si>
  <si>
    <t>Pot Goni (Kg)</t>
  </si>
  <si>
    <t>Netto 2</t>
  </si>
  <si>
    <t>5.1</t>
  </si>
  <si>
    <t>A. Terima Kopra Stok / Kering</t>
  </si>
  <si>
    <t>B. Terima Kopra Mentah/Langkau</t>
  </si>
  <si>
    <t>Total Terima Kopra</t>
  </si>
  <si>
    <t>Pot Kadar Air</t>
  </si>
  <si>
    <t>5.2</t>
  </si>
  <si>
    <t>Terima Arang Tempurung</t>
  </si>
  <si>
    <t>5.3</t>
  </si>
  <si>
    <t>Terima Tempurung</t>
  </si>
  <si>
    <t>5.4</t>
  </si>
  <si>
    <t>Terima Cangkang</t>
  </si>
  <si>
    <t>5.5</t>
  </si>
  <si>
    <t>Terima Sabut</t>
  </si>
  <si>
    <t>5.6</t>
  </si>
  <si>
    <t>Terima Kulit Rumbia</t>
  </si>
  <si>
    <t>5.7</t>
  </si>
  <si>
    <t>Terima Batu Bara</t>
  </si>
  <si>
    <t>5.8</t>
  </si>
  <si>
    <t>Ampas Sagu</t>
  </si>
  <si>
    <t>6. Kirim Kopra ke PT.BSI/PT.KAIK dll (Kg)</t>
  </si>
  <si>
    <t>6.1.</t>
  </si>
  <si>
    <t>Kirim Kopra/WM ke PT.BSI</t>
  </si>
  <si>
    <t>6.2.</t>
  </si>
  <si>
    <t>Kirim Kopra ke PT.KAIK</t>
  </si>
  <si>
    <t xml:space="preserve">7. Stock Akhir </t>
  </si>
  <si>
    <t>7.1</t>
  </si>
  <si>
    <t>Terima KB</t>
  </si>
  <si>
    <t>7.2</t>
  </si>
  <si>
    <t>Terima Kopra</t>
  </si>
  <si>
    <t>Reject DC, KA, WM</t>
  </si>
  <si>
    <t>Dibuat oleh,</t>
  </si>
  <si>
    <t>Diketahui oleh,</t>
  </si>
  <si>
    <t>Nama</t>
  </si>
  <si>
    <t>Jabatan</t>
  </si>
  <si>
    <t>Tanggal</t>
  </si>
  <si>
    <t>Mulai berlaku 10.04.08</t>
  </si>
  <si>
    <t>FRM-RMP- 016-01</t>
  </si>
  <si>
    <t>1.3</t>
  </si>
  <si>
    <t xml:space="preserve">Tanggal : </t>
  </si>
  <si>
    <t>KELAPA BULAT TYPE A ( COCONUT )</t>
  </si>
  <si>
    <t>BERAT BRUTO (Kg)</t>
  </si>
  <si>
    <t>BERAT TARRA (Kg)</t>
  </si>
  <si>
    <t>BERAT NETTO 1 (Kg)</t>
  </si>
  <si>
    <t>NO DOK</t>
  </si>
  <si>
    <t xml:space="preserve">Nama Supplier ( Name Supplier ) </t>
  </si>
  <si>
    <t>WLH ( Areas )</t>
  </si>
  <si>
    <t>TOTAL NOTA</t>
  </si>
  <si>
    <r>
      <t>1</t>
    </r>
    <r>
      <rPr>
        <b/>
        <vertAlign val="superscript"/>
        <sz val="11"/>
        <rFont val="Comic Sans MS"/>
        <family val="4"/>
      </rPr>
      <t>st</t>
    </r>
    <r>
      <rPr>
        <b/>
        <sz val="11"/>
        <rFont val="Comic Sans MS"/>
        <family val="4"/>
      </rPr>
      <t xml:space="preserve"> Weight</t>
    </r>
  </si>
  <si>
    <r>
      <t>2</t>
    </r>
    <r>
      <rPr>
        <b/>
        <vertAlign val="superscript"/>
        <sz val="11"/>
        <rFont val="Comic Sans MS"/>
        <family val="4"/>
      </rPr>
      <t>nd</t>
    </r>
    <r>
      <rPr>
        <b/>
        <sz val="11"/>
        <rFont val="Comic Sans MS"/>
        <family val="4"/>
      </rPr>
      <t xml:space="preserve"> Weight</t>
    </r>
  </si>
  <si>
    <t>Net Weight</t>
  </si>
  <si>
    <t>7=(5-6)</t>
  </si>
  <si>
    <t>TOTAL</t>
  </si>
  <si>
    <t>AKUM</t>
  </si>
  <si>
    <t>KELAPA BULAT TYPE B ( COCONUT )</t>
  </si>
  <si>
    <t>NOTA</t>
  </si>
  <si>
    <t>TOTAL KELAPA BULAT TYPE A DARI Darat ….. 1</t>
  </si>
  <si>
    <t>TOTAL KELAPA BULAT TYPE A DARI Sungai …….2</t>
  </si>
  <si>
    <t>KELAPA BULAT ( COCONUT ) - KULIT /BERSABUT</t>
  </si>
  <si>
    <t>BERAT</t>
  </si>
  <si>
    <t>BRUTO (Kg)</t>
  </si>
  <si>
    <t>TARRA (Kg)</t>
  </si>
  <si>
    <t>NETTO 1 (Kg)</t>
  </si>
  <si>
    <t>ADEN</t>
  </si>
  <si>
    <t>SAIRI</t>
  </si>
  <si>
    <t>Terima KB TYPE A (KB Jambul)  Laut</t>
  </si>
  <si>
    <t>Terima KB TYPE A (KB Jambul)  Darat</t>
  </si>
  <si>
    <t>Terima  KB TYPE A (KB Gundul) Darat</t>
  </si>
  <si>
    <t>Terima  KB TYPE A (KB Gundul) Laut</t>
  </si>
  <si>
    <t>2. Pengiriman Barang antar Dept</t>
  </si>
  <si>
    <t>2.1  KELAPA KUPAS</t>
  </si>
  <si>
    <t>Total KB Type A</t>
  </si>
  <si>
    <t>Total KB Type B</t>
  </si>
  <si>
    <t>Sub Total KB A + KB B</t>
  </si>
  <si>
    <t>Total Terima Kelapa Bersabut</t>
  </si>
  <si>
    <t>Akumulatif (Kg)</t>
  </si>
  <si>
    <t>Hari ini  (Kg)</t>
  </si>
  <si>
    <t>5. Terima KPR/AT/TPR/SBT/CGK/BTBR/RUMBIA   (Kg)</t>
  </si>
  <si>
    <t>CC: GM-AGM/SEC/ACC/MP/Arsip</t>
  </si>
  <si>
    <t>Terima  KB TYPE B …….. Darat</t>
  </si>
  <si>
    <t>Terima  KB TYPE B ……... Laut</t>
  </si>
  <si>
    <t>ABU NAWAS</t>
  </si>
  <si>
    <t>DARMI</t>
  </si>
  <si>
    <t>M.FUADI R.</t>
  </si>
  <si>
    <t>M.AMIN</t>
  </si>
  <si>
    <t>INDRAYANI</t>
  </si>
  <si>
    <t>SUKAMTO</t>
  </si>
  <si>
    <t>AMIRUDDIN</t>
  </si>
  <si>
    <r>
      <t xml:space="preserve">LAP.HARIAN PENERIMAAN BAHAN BAKU </t>
    </r>
    <r>
      <rPr>
        <sz val="11"/>
        <color theme="0"/>
        <rFont val="Comic Sans MS"/>
        <family val="4"/>
      </rPr>
      <t>PT.CMI</t>
    </r>
  </si>
  <si>
    <t>BUMDESA AMANAH NEGERI</t>
  </si>
  <si>
    <t>Kelapa Bersabut Via Darat</t>
  </si>
  <si>
    <t>SIHOMBING</t>
  </si>
  <si>
    <t xml:space="preserve">       KB RIJECT KE MP2 (Via Laut)</t>
  </si>
  <si>
    <t>2.3  KB B KE MP2</t>
  </si>
  <si>
    <t>2.2  KB RIJECT KE MP2 (Via Darat)</t>
  </si>
  <si>
    <t>KELAPA BULAT</t>
  </si>
  <si>
    <t>JAMBUL TYPE A</t>
  </si>
  <si>
    <t>DARAT</t>
  </si>
  <si>
    <t>LAUT</t>
  </si>
  <si>
    <t>GUNDUL TYPE A</t>
  </si>
  <si>
    <t>TYPE B</t>
  </si>
  <si>
    <t>BERSABUT</t>
  </si>
  <si>
    <t>KELAPA KUPAS</t>
  </si>
  <si>
    <t>KB RIJECT KE MP2</t>
  </si>
  <si>
    <t>KB B KE MP2</t>
  </si>
  <si>
    <t>ADMIN</t>
  </si>
  <si>
    <t>NO</t>
  </si>
  <si>
    <t>TANGGAL</t>
  </si>
  <si>
    <t>Asdawita</t>
  </si>
  <si>
    <t>:</t>
  </si>
  <si>
    <t>Umroh. M</t>
  </si>
  <si>
    <t>M.Adm RMP</t>
  </si>
  <si>
    <t>DOK. :</t>
  </si>
  <si>
    <t>TGL. :</t>
  </si>
  <si>
    <t>HLM. :</t>
  </si>
  <si>
    <t>1   dari   1</t>
  </si>
  <si>
    <t>Rudi</t>
  </si>
  <si>
    <t>RELASI</t>
  </si>
  <si>
    <t>ALAMAT</t>
  </si>
  <si>
    <t>DOCKB</t>
  </si>
  <si>
    <t>Simbar</t>
  </si>
  <si>
    <t>Tembilahan</t>
  </si>
  <si>
    <t>Enok</t>
  </si>
  <si>
    <t>YANADI</t>
  </si>
  <si>
    <t>AHMAD TARMIZI</t>
  </si>
  <si>
    <t>AHUAT</t>
  </si>
  <si>
    <t>Belaras</t>
  </si>
  <si>
    <t>AHWA</t>
  </si>
  <si>
    <t>Sei Piring</t>
  </si>
  <si>
    <t>AMIR</t>
  </si>
  <si>
    <t>Kuala Enok</t>
  </si>
  <si>
    <t>P. Enok</t>
  </si>
  <si>
    <t>Mumpa</t>
  </si>
  <si>
    <t>Sei. Sejuk</t>
  </si>
  <si>
    <t>DINI CHAIRANI</t>
  </si>
  <si>
    <t>P.palas</t>
  </si>
  <si>
    <t>EDBERT</t>
  </si>
  <si>
    <t>H.ARSAD</t>
  </si>
  <si>
    <t>Tokolan</t>
  </si>
  <si>
    <t>H.HAMID</t>
  </si>
  <si>
    <t>Kilo 8</t>
  </si>
  <si>
    <t>H.HARIS</t>
  </si>
  <si>
    <t>T. Pinang</t>
  </si>
  <si>
    <t>H.SALINDRI</t>
  </si>
  <si>
    <t>HAMLAN</t>
  </si>
  <si>
    <t>HENDRY JOHANES</t>
  </si>
  <si>
    <t>ISANG</t>
  </si>
  <si>
    <t>Guntung</t>
  </si>
  <si>
    <t>IWAN</t>
  </si>
  <si>
    <t>Batang Tuaka</t>
  </si>
  <si>
    <t>JOHAN</t>
  </si>
  <si>
    <t>Batam</t>
  </si>
  <si>
    <t>M.ALI-KTM</t>
  </si>
  <si>
    <t>Kateman</t>
  </si>
  <si>
    <t>Lahang</t>
  </si>
  <si>
    <t>M.ASNAWI</t>
  </si>
  <si>
    <t>M.RIDWAN ARSYAD</t>
  </si>
  <si>
    <t>MARTONO</t>
  </si>
  <si>
    <t>MASRI</t>
  </si>
  <si>
    <t>Pelanduk</t>
  </si>
  <si>
    <t>MINSAR</t>
  </si>
  <si>
    <t>MUHAMMAD ARAB</t>
  </si>
  <si>
    <t>L. Hulu</t>
  </si>
  <si>
    <t>MURYADI</t>
  </si>
  <si>
    <t>Sp. Gaung</t>
  </si>
  <si>
    <t>PT.SINAR KELAPA TEMBILAHAN</t>
  </si>
  <si>
    <t>RITA ERNITA</t>
  </si>
  <si>
    <t>Rukun Makmur</t>
  </si>
  <si>
    <t>SITI FATIMAH</t>
  </si>
  <si>
    <t>Sungai Salak</t>
  </si>
  <si>
    <t>WARTINI</t>
  </si>
  <si>
    <t>Sendawa</t>
  </si>
  <si>
    <t>ZAINAL ABIDIN</t>
  </si>
  <si>
    <t>Sei. Salak</t>
  </si>
  <si>
    <t>H.SYAMSUDDIN</t>
  </si>
  <si>
    <t>DOK</t>
  </si>
  <si>
    <t>DOCKBB</t>
  </si>
  <si>
    <t>CEK</t>
  </si>
  <si>
    <t>AREA</t>
  </si>
  <si>
    <t>TN</t>
  </si>
  <si>
    <t>BRUTO</t>
  </si>
  <si>
    <t>TARRA</t>
  </si>
  <si>
    <t>NETTO</t>
  </si>
  <si>
    <t>NAMA SUPP</t>
  </si>
  <si>
    <t>SUPPLIER/KM</t>
  </si>
  <si>
    <t>Ok</t>
  </si>
  <si>
    <t>FILTER</t>
  </si>
  <si>
    <t>TRANSPORT</t>
  </si>
  <si>
    <t>no</t>
  </si>
  <si>
    <t>tanggal</t>
  </si>
  <si>
    <t>jdarat</t>
  </si>
  <si>
    <t>jlaut</t>
  </si>
  <si>
    <t>gdarat</t>
  </si>
  <si>
    <t>glaut</t>
  </si>
  <si>
    <t>bdarat</t>
  </si>
  <si>
    <t>blaut</t>
  </si>
  <si>
    <t>bsdarat</t>
  </si>
  <si>
    <t>bslaut</t>
  </si>
  <si>
    <t>kkupas</t>
  </si>
  <si>
    <t>krdarat</t>
  </si>
  <si>
    <t>krlaut</t>
  </si>
  <si>
    <t>kmp2</t>
  </si>
  <si>
    <t>adm</t>
  </si>
  <si>
    <t>DOCKBS</t>
  </si>
  <si>
    <t>Indah Eka Putri</t>
  </si>
  <si>
    <t>PT.ISK</t>
  </si>
  <si>
    <t>ERAWATI</t>
  </si>
  <si>
    <t>NO ANTRI</t>
  </si>
  <si>
    <t>TGL DTG</t>
  </si>
  <si>
    <t>KEEP</t>
  </si>
  <si>
    <t>HENDRI</t>
  </si>
  <si>
    <t>ROSDIANTO</t>
  </si>
  <si>
    <t>Sei. PIRING</t>
  </si>
  <si>
    <t>TOTAL TERIMA KELAPA</t>
  </si>
  <si>
    <t>DINI CHAIRANI/KM.ALIPA</t>
  </si>
  <si>
    <t>TOTAL AKUM KBA+KBB+KBS</t>
  </si>
  <si>
    <t>RUSLAN JAYA, SH</t>
  </si>
  <si>
    <t>2.4  KB PT. ISK</t>
  </si>
  <si>
    <t>kbisk</t>
  </si>
  <si>
    <t>KB PT. ISK</t>
  </si>
  <si>
    <t>Total</t>
  </si>
  <si>
    <t>Sungai Gantang</t>
  </si>
  <si>
    <t>PT. ALAM SEJUK SEJAHTERA</t>
  </si>
  <si>
    <t>JULYASNO</t>
  </si>
  <si>
    <t xml:space="preserve">TELUK PINANG </t>
  </si>
  <si>
    <t>Column1</t>
  </si>
  <si>
    <t>TOTAL KELAPA BULAT TYPE B DARI Darat.…...3</t>
  </si>
  <si>
    <t>TOTAL KELAPA BULAT TYPE B DARI Sungai.…….4</t>
  </si>
  <si>
    <t>TOTAL KELAPA BULAT KULIT/BERSABUT……………5</t>
  </si>
  <si>
    <t>SUB Total KB Darat,Sungai+KB.B Darat,Sungai+Kelapa kulit (1+2+3+4+5)</t>
  </si>
  <si>
    <t>AKUMULATIF KB Darat,Sungai+KB.B Darat,Sungai+Kelapa kulit (1+2+3+4+5)</t>
  </si>
  <si>
    <t>CEK KBA+KBB</t>
  </si>
  <si>
    <t>CEK KBA+KBB+KBS</t>
  </si>
  <si>
    <t>AKUM KBA+KBB</t>
  </si>
  <si>
    <t>CATATAN</t>
  </si>
  <si>
    <t>*</t>
  </si>
  <si>
    <t>Sri Megawati</t>
  </si>
  <si>
    <t>UNTUK NO DOC PT SINAR KELAPA TEMBILAHAN KBA 103-179 MASUK DALAM LAPORAN PT ISK</t>
  </si>
  <si>
    <t>ERAWATI/KM.PUTRI DUYUNG</t>
  </si>
  <si>
    <t>SEI SEJUK</t>
  </si>
  <si>
    <t>HENDRI/KM.HARAPAN JAYA</t>
  </si>
  <si>
    <t>TEMBILAHAN</t>
  </si>
  <si>
    <t>MARTONO/KM.HASLINA</t>
  </si>
  <si>
    <t>TBH</t>
  </si>
  <si>
    <t>MARTONO/KM.WASI</t>
  </si>
  <si>
    <t>MASRI/KM.BUTIRAN MAS 02</t>
  </si>
  <si>
    <t>PELANDUK</t>
  </si>
  <si>
    <t>PT.SINAR KELAPA TEMBILAHAN/KM.SETIA DAMAI</t>
  </si>
  <si>
    <t>BATAM</t>
  </si>
  <si>
    <t>LAHANG</t>
  </si>
  <si>
    <t>YANADI/KM.BASTIAN</t>
  </si>
  <si>
    <t>ENOK</t>
  </si>
  <si>
    <t>RITA ERNITA/KM.BINTANG JAYA</t>
  </si>
  <si>
    <t>R.MAKMUR</t>
  </si>
  <si>
    <t>P.PALAS</t>
  </si>
  <si>
    <t>DINI CHAIRANI/KM.AQILA</t>
  </si>
  <si>
    <t>HENDRI/KM.NAFISA</t>
  </si>
  <si>
    <t>MARTONO/KM.SYIRA</t>
  </si>
  <si>
    <t>MASRI/KM.WIJAYA 2</t>
  </si>
  <si>
    <t>MARTONO/KM.RISKY</t>
  </si>
  <si>
    <t>SUKAMTO/KM.RONI</t>
  </si>
  <si>
    <t>S.SALAK</t>
  </si>
  <si>
    <t>DINI CHAIRANI/KM.LISA</t>
  </si>
  <si>
    <t>HENDRI/KM.ADI SURYA</t>
  </si>
  <si>
    <t>MARTONO/KM.HASLINA 1</t>
  </si>
  <si>
    <t>MARTONO/KM.USAHA BERSAMA</t>
  </si>
  <si>
    <t>MASRI/KM.ERMA JAYA</t>
  </si>
  <si>
    <t>YANADI/KM.SAHABAT</t>
  </si>
  <si>
    <t>Adm RMP</t>
  </si>
  <si>
    <t>LAP.HARIAN PENERIMAAN BAHAN BAKU PT.CMI - DEPT. RMP</t>
  </si>
  <si>
    <t>Tahun :</t>
  </si>
  <si>
    <t>Bulan :</t>
  </si>
  <si>
    <t>Tanggal Penerimaan :</t>
  </si>
  <si>
    <t>Tanggal Pelaporan :</t>
  </si>
  <si>
    <t>TAHUN :</t>
  </si>
  <si>
    <t>BULAN :</t>
  </si>
  <si>
    <t>TANGGAL :</t>
  </si>
  <si>
    <t>REKAP PENERIMAAN BAHAN BAKU DEPARTEMEN RMP</t>
  </si>
  <si>
    <t>SET MINGGU KE :</t>
  </si>
  <si>
    <t xml:space="preserve">Angka        </t>
  </si>
  <si>
    <t>Terbilang</t>
  </si>
  <si>
    <t>satu</t>
  </si>
  <si>
    <t>dua</t>
  </si>
  <si>
    <t>tiga</t>
  </si>
  <si>
    <t>empat</t>
  </si>
  <si>
    <t>lima</t>
  </si>
  <si>
    <t>enam</t>
  </si>
  <si>
    <t>tujuh</t>
  </si>
  <si>
    <t>delapan</t>
  </si>
  <si>
    <t>sembilan</t>
  </si>
  <si>
    <t>sepuluh</t>
  </si>
  <si>
    <t>sebelas</t>
  </si>
  <si>
    <t>dua belas</t>
  </si>
  <si>
    <t>tiga belas</t>
  </si>
  <si>
    <t>empat belas</t>
  </si>
  <si>
    <t>lima belas</t>
  </si>
  <si>
    <t>enam belas</t>
  </si>
  <si>
    <t>tujuh belas</t>
  </si>
  <si>
    <t>delapan belas</t>
  </si>
  <si>
    <t>sembilan belas</t>
  </si>
  <si>
    <t>Nilai</t>
  </si>
  <si>
    <t>Posisi</t>
  </si>
  <si>
    <t>Digit</t>
  </si>
  <si>
    <t>NILAI</t>
  </si>
  <si>
    <t>Ratusan</t>
  </si>
  <si>
    <t>Puluhan</t>
  </si>
  <si>
    <t>Belasan &amp; Satuan</t>
  </si>
  <si>
    <t>Tahap 1</t>
  </si>
  <si>
    <t>Tahap 2</t>
  </si>
  <si>
    <t>MASRI/KM.DUA SAUDARA</t>
  </si>
  <si>
    <t>ZAINAL ABIDIN/AAN/KM.SUMBER REZKI</t>
  </si>
  <si>
    <t>ERAWATI/KM.TIRTA KENCANA</t>
  </si>
  <si>
    <t>MARTONO/KM.BANUA LAWAS</t>
  </si>
  <si>
    <t>MARTONO/KM.MAWAR JAYA</t>
  </si>
  <si>
    <t>MASRI/KM.NURSYAPA HIDAYAH</t>
  </si>
  <si>
    <t>MUHAMMAD ARAB/KM.PAISAL</t>
  </si>
  <si>
    <t>L.HULU</t>
  </si>
  <si>
    <t>YANADI/KM.CHANDRA JAYA</t>
  </si>
  <si>
    <t>HENDRI/KM.CHANDRA JAYA</t>
  </si>
  <si>
    <t>MASRI/KM.BUTIRAN MAS 03</t>
  </si>
  <si>
    <t>DINI CHAIRANI/KM.HASLINA</t>
  </si>
  <si>
    <t>HENDRI/KM.ROBI JAYA</t>
  </si>
  <si>
    <t>MASRI/KM.ISMAIL JAYA</t>
  </si>
  <si>
    <t>MASRI/KM.RIZKI</t>
  </si>
  <si>
    <t>DINI CHAIRANI/KM.SIMPANG JAYA</t>
  </si>
  <si>
    <t>AMIR/KM.CHANDRATIKA</t>
  </si>
  <si>
    <t>K.ENOK</t>
  </si>
  <si>
    <t>HENDRI/KM.FAIZ</t>
  </si>
  <si>
    <t>HENDRI/KM.MARDINATA</t>
  </si>
  <si>
    <t>HENDRI/KM.YARJAYA</t>
  </si>
  <si>
    <t>MARTONO/KM.RINDU IBU 2</t>
  </si>
  <si>
    <t>MASRI/KM.WIJAYA</t>
  </si>
  <si>
    <t>HENDRI/KM.BINTANG SELATAN</t>
  </si>
  <si>
    <t>MARTONO/KM.MUSLIM</t>
  </si>
  <si>
    <t>MARTONO/KM.WASEK</t>
  </si>
  <si>
    <t>RITA ERNITA/KM.BINTANG TERANG</t>
  </si>
  <si>
    <t>WARTINI/KM.DEPAVALI</t>
  </si>
  <si>
    <t>SENDAWA</t>
  </si>
  <si>
    <t>YANADI/KM.SUMBER REJEKI 2</t>
  </si>
  <si>
    <t>MARTONO/KM.MERPATI JAYA</t>
  </si>
  <si>
    <t>DINI CHAIRANI/KM.SABAR MENANTI</t>
  </si>
  <si>
    <t>HENDRI/KM.RAHMAT</t>
  </si>
  <si>
    <t>MARTONO/KM.SUWIT</t>
  </si>
  <si>
    <t>MASRI/KM.BUTIRAN MAS 01</t>
  </si>
  <si>
    <t>MARTONO/KM.HASLINA SATU</t>
  </si>
  <si>
    <t>MARTONO/KM.MUSDALIPA</t>
  </si>
  <si>
    <t>PT.SINAR KELAPA TEMBILAHAN/KM.ELMA JAYA 6</t>
  </si>
  <si>
    <t>PT.SINAR KELAPA TEMBILAHAN/KM.HASLINA</t>
  </si>
  <si>
    <t>PT.SINAR KELAPA TEMBILAHAN/KM.SUMBER REZEKI 2</t>
  </si>
  <si>
    <t>MARTONO/KM.CHANDRA JAYA</t>
  </si>
  <si>
    <t>MASRI/KM.USAHA BERSAMA</t>
  </si>
  <si>
    <t>PT.SINAR KELAPA TEMBILAHAN/KM.BERKAH</t>
  </si>
  <si>
    <t>PT.SINAR KELAPA TEMBILAHAN/KM.ELMA JAYA 8</t>
  </si>
  <si>
    <t>ROSDIANTO/KM.SUKUR 1</t>
  </si>
  <si>
    <t>SEI PIRING</t>
  </si>
  <si>
    <t>ZAINAL ABIDIN/AAN/KM.SUMBER REZEKI</t>
  </si>
  <si>
    <t>AMIR/KM.SRI INDAH</t>
  </si>
  <si>
    <t>DINI CHAIRANI/KM.RUSLI</t>
  </si>
  <si>
    <t>PT.SINAR KELAPA TEMBILAHAN/KM.BERKAH MANDIRI</t>
  </si>
  <si>
    <t>PT.SINAR KELAPA TEMBILAHAN/KM.WILDAN 01</t>
  </si>
  <si>
    <t>YANADI/KM.SUMBER REZEKI 2</t>
  </si>
  <si>
    <t>DINI CHAIRANI/KM.INDAH</t>
  </si>
  <si>
    <t>DINI CHAIRANI/KM.LANI JAYA</t>
  </si>
  <si>
    <t>PT.SINAR KELAPA TEMBILAHAN/KM.BINTANG SELATAN</t>
  </si>
  <si>
    <t>PT.SINAR KELAPA TEMBILAHAN/KM.CAHAYA TRI PUTRI</t>
  </si>
  <si>
    <t>PT.SINAR KELAPA TEMBILAHAN/KM.ELMA JAYA 5</t>
  </si>
  <si>
    <t>PT.SINAR KELAPA TEMBILAHAN/KM.INDRAWAN</t>
  </si>
  <si>
    <t>PT.SINAR KELAPA TEMBILAHAN/KM.MERPATI JAYA</t>
  </si>
  <si>
    <t>PT.SINAR KELAPA TEMBILAHAN/KM.SAHABAT</t>
  </si>
  <si>
    <t>PT.SINAR KELAPA TEMBILAHAN/KM.YARJAYA 2</t>
  </si>
  <si>
    <t>SUKAMTO/KM.HARAPAN JAYA 2</t>
  </si>
  <si>
    <t>SUKAMTO/KM.HASLINA 01</t>
  </si>
  <si>
    <t>WARTINI/KM.ABUDABI</t>
  </si>
  <si>
    <t>HENDRY JOHANES/KM.ACC 2</t>
  </si>
  <si>
    <t>HENDRY JOHANES/KM.ACC 3</t>
  </si>
  <si>
    <t>PT.SINAR KELAPA TEMBILAHAN/KM.NAHDA JAYA 2</t>
  </si>
  <si>
    <t>PT.SINAR KELAPA TEMBILAHAN/KM.YARJAYA</t>
  </si>
  <si>
    <t>ROSDIANTO/KM.SUKUR 2</t>
  </si>
  <si>
    <t>MARTONO/KM.LANCENG JAYA</t>
  </si>
  <si>
    <t>MASRI/KM.AULIA JAYA</t>
  </si>
  <si>
    <t>PT.SINAR KELAPA TEMBILAHAN/KM.POMPONG</t>
  </si>
  <si>
    <t>SUKAMTO/KM.APAN</t>
  </si>
  <si>
    <t>ZAINAL ABIDIN/AAN /KM.SUMBER REZKI</t>
  </si>
  <si>
    <t>AMIR/KM.PUTRA MANDIRI</t>
  </si>
  <si>
    <t>HENDRY JOHANES/KM.ACC 02</t>
  </si>
  <si>
    <t>PT.SINAR KELAPA TEMBILAHAN/KM.SEPAKAT JAYA</t>
  </si>
  <si>
    <t xml:space="preserve">PT.SINAR KELAPA TEMBILAHAN/KM.MERPATI JAYA </t>
  </si>
  <si>
    <t>PT.SINAR KELAPA TEMBILAHAN/KM.MERPATI JAYA 1</t>
  </si>
  <si>
    <t>PT.SINAR KELAPA TEMBILAHAN/KM.MERPATI JAYA 01</t>
  </si>
  <si>
    <t>PT.SINAR KELAPA TEMBILAHAN/KM.MERPATI JAYA 2</t>
  </si>
  <si>
    <t>DINI CHAIRANI/KM.WASI</t>
  </si>
  <si>
    <t>HELMANSYAH/KM.BERKAH</t>
  </si>
  <si>
    <t>SEI.SALAK</t>
  </si>
  <si>
    <t>HELMANSYAH/KM.INDRAWAN</t>
  </si>
  <si>
    <t>HELMANSYAH/KM.MERPATI</t>
  </si>
  <si>
    <t>HELMANSYAH/KM.POMPONG</t>
  </si>
  <si>
    <t>HELMANSYAH/KM.YARJAYA</t>
  </si>
  <si>
    <t>MASRI/KM.PEMBANGUNAN</t>
  </si>
  <si>
    <t>HELMANSYAH</t>
  </si>
  <si>
    <t>YANADI/KM.CHANDRAJAYA</t>
  </si>
  <si>
    <t xml:space="preserve">DINI CHAIRANI/KM.LISA </t>
  </si>
  <si>
    <t>HELMANSYAH/KM.ARDINATA</t>
  </si>
  <si>
    <t>HELMANSYAH/KM.BINTANG SELATAN</t>
  </si>
  <si>
    <t>HELMANSYAH/KM.SEPAKAT JAYA</t>
  </si>
  <si>
    <t>HELMANSYAH/KM.MERPATI JAYA</t>
  </si>
  <si>
    <t>HELMANSYAH/KM.SETIA DAMAI</t>
  </si>
  <si>
    <t>HELMANSYAH/KM.WILDAN 02</t>
  </si>
  <si>
    <t>MARTONO/KM.HASLINA 01</t>
  </si>
  <si>
    <t>13 JANUARI 2020</t>
  </si>
  <si>
    <t>HELMANSYAH/KM.MERPATI JAYA 2</t>
  </si>
  <si>
    <t>YANADI/KM.INDRAWAN</t>
  </si>
  <si>
    <t>YANADI/KM.MARDINATA</t>
  </si>
  <si>
    <t>MARTONO/KM.BERKAH</t>
  </si>
  <si>
    <t>MARTONO/KM.HASLINA 2</t>
  </si>
  <si>
    <t>YANADI/KM.CANDRA JAYA</t>
  </si>
  <si>
    <t>MARTONO/KM.HASLINA 02</t>
  </si>
  <si>
    <t>MARTONO/KM.RUPI</t>
  </si>
  <si>
    <t>MARTONO/KM.RUPI 2</t>
  </si>
  <si>
    <t>DINI CHAIRANI/KM.WASI 2</t>
  </si>
  <si>
    <t xml:space="preserve">MARTONO/KM.HASLINA 1 </t>
  </si>
  <si>
    <t>DINI CHAIRANI/KM.LISSA</t>
  </si>
  <si>
    <t xml:space="preserve">MARTONO/KM.HASLINA </t>
  </si>
  <si>
    <t>SUKAMTO/KM.HASLINA 2</t>
  </si>
  <si>
    <t>MARTONO/KM .HASLINA 1</t>
  </si>
  <si>
    <t>SUKAMTO/KM. HASLINA</t>
  </si>
  <si>
    <t xml:space="preserve">MARTONO/KMSYIRA </t>
  </si>
  <si>
    <t>HENDRI/KM.NAPISA</t>
  </si>
  <si>
    <t>WARTINI/KM.KOTA MISISSIPI</t>
  </si>
  <si>
    <t>HENDRI/KM.SETIA</t>
  </si>
  <si>
    <t>HENDRI/KM.WASI</t>
  </si>
  <si>
    <t>HENDRI/KM.NAPIZA</t>
  </si>
  <si>
    <t>HENDRI/KM.TIRTA</t>
  </si>
  <si>
    <t>HENDRI/KM.BERSAMA</t>
  </si>
  <si>
    <t>HENDRI/KM.INDRA JAYA</t>
  </si>
  <si>
    <t>HENDRI/KM.RESKI</t>
  </si>
  <si>
    <t>037</t>
  </si>
  <si>
    <t>KMP2</t>
  </si>
  <si>
    <t>JAMBUL A-D</t>
  </si>
  <si>
    <t>JAMBUL A-L</t>
  </si>
  <si>
    <t>GUNDUL D</t>
  </si>
  <si>
    <t>GUNDUL L</t>
  </si>
  <si>
    <t>JAMBUL B-D</t>
  </si>
  <si>
    <t>JAMBUL B-L</t>
  </si>
  <si>
    <t>BERSABUT D</t>
  </si>
  <si>
    <t>BERSABUT L</t>
  </si>
  <si>
    <t>KUPAS</t>
  </si>
  <si>
    <t>REJECT D</t>
  </si>
  <si>
    <t>REJECT L</t>
  </si>
  <si>
    <t>ISK</t>
  </si>
</sst>
</file>

<file path=xl/styles.xml><?xml version="1.0" encoding="utf-8"?>
<styleSheet xmlns="http://schemas.openxmlformats.org/spreadsheetml/2006/main">
  <numFmts count="13">
    <numFmt numFmtId="41" formatCode="_(* #,##0_);_(* \(#,##0\);_(* &quot;-&quot;_);_(@_)"/>
    <numFmt numFmtId="43" formatCode="_(* #,##0.00_);_(* \(#,##0.00\);_(* &quot;-&quot;??_);_(@_)"/>
    <numFmt numFmtId="164" formatCode="_(* #,##0.00_);_(* \(#,##0.00\);_(* &quot;-&quot;_);_(@_)"/>
    <numFmt numFmtId="165" formatCode="_(* #,##0.0_);_(* \(#,##0.0\);_(* &quot;-&quot;_);_(@_)"/>
    <numFmt numFmtId="166" formatCode="#.00"/>
    <numFmt numFmtId="167" formatCode="[$-21]dd\ mmm\ yyyy;@"/>
    <numFmt numFmtId="168" formatCode="dd\-mmm\-yyyy"/>
    <numFmt numFmtId="169" formatCode="[$-21]dd\ mmmm\ yyyy;@"/>
    <numFmt numFmtId="170" formatCode="[$-21]dd\-mmm\-yy;@"/>
    <numFmt numFmtId="171" formatCode="_(* #,##0_);_(* \(#,##0\);_(* &quot;-&quot;??_);_(@_)"/>
    <numFmt numFmtId="172" formatCode="00"/>
    <numFmt numFmtId="173" formatCode="[$-21]dd;@"/>
    <numFmt numFmtId="174" formatCode="[$-21]mmmm;@"/>
  </numFmts>
  <fonts count="15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Trebuchet MS"/>
      <family val="2"/>
    </font>
    <font>
      <b/>
      <sz val="11"/>
      <name val="Trebuchet MS"/>
      <family val="2"/>
    </font>
    <font>
      <sz val="10"/>
      <name val="Trebuchet MS"/>
      <family val="2"/>
    </font>
    <font>
      <sz val="8"/>
      <name val="Trebuchet MS"/>
      <family val="2"/>
    </font>
    <font>
      <b/>
      <sz val="8"/>
      <name val="Trebuchet MS"/>
      <family val="2"/>
    </font>
    <font>
      <sz val="9"/>
      <name val="Trebuchet MS"/>
      <family val="2"/>
    </font>
    <font>
      <sz val="9"/>
      <color indexed="8"/>
      <name val="Trebuchet MS"/>
      <family val="2"/>
    </font>
    <font>
      <b/>
      <sz val="9"/>
      <name val="Trebuchet MS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63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"/>
      <name val="Courier"/>
      <family val="3"/>
    </font>
    <font>
      <sz val="18"/>
      <color indexed="8"/>
      <name val="Courier"/>
      <family val="3"/>
    </font>
    <font>
      <sz val="8"/>
      <color indexed="8"/>
      <name val="Courier"/>
      <family val="3"/>
    </font>
    <font>
      <i/>
      <sz val="12"/>
      <color indexed="8"/>
      <name val="Courier"/>
      <family val="3"/>
    </font>
    <font>
      <b/>
      <sz val="18"/>
      <color indexed="8"/>
      <name val="Courier"/>
      <family val="3"/>
    </font>
    <font>
      <b/>
      <sz val="12"/>
      <color indexed="8"/>
      <name val="Courier"/>
      <family val="3"/>
    </font>
    <font>
      <sz val="12"/>
      <color indexed="60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sz val="12"/>
      <color indexed="52"/>
      <name val="新細明體"/>
      <family val="1"/>
      <charset val="136"/>
    </font>
    <font>
      <sz val="12"/>
      <color indexed="17"/>
      <name val="????"/>
      <family val="1"/>
      <charset val="136"/>
    </font>
    <font>
      <sz val="12"/>
      <name val="????"/>
      <family val="1"/>
      <charset val="136"/>
    </font>
    <font>
      <b/>
      <sz val="15"/>
      <color indexed="62"/>
      <name val="????"/>
      <family val="1"/>
      <charset val="136"/>
    </font>
    <font>
      <b/>
      <sz val="13"/>
      <color indexed="62"/>
      <name val="????"/>
      <family val="1"/>
      <charset val="136"/>
    </font>
    <font>
      <b/>
      <sz val="11"/>
      <color indexed="62"/>
      <name val="????"/>
      <family val="1"/>
      <charset val="136"/>
    </font>
    <font>
      <i/>
      <sz val="12"/>
      <color indexed="23"/>
      <name val="????"/>
      <family val="1"/>
      <charset val="136"/>
    </font>
    <font>
      <b/>
      <sz val="12"/>
      <color indexed="9"/>
      <name val="????"/>
      <family val="1"/>
      <charset val="136"/>
    </font>
    <font>
      <sz val="12"/>
      <color indexed="52"/>
      <name val="????"/>
      <family val="1"/>
      <charset val="136"/>
    </font>
    <font>
      <sz val="12"/>
      <color indexed="10"/>
      <name val="????"/>
      <family val="1"/>
      <charset val="136"/>
    </font>
    <font>
      <b/>
      <sz val="12"/>
      <color indexed="63"/>
      <name val="????"/>
      <family val="1"/>
      <charset val="136"/>
    </font>
    <font>
      <sz val="12"/>
      <color indexed="9"/>
      <name val="????"/>
      <family val="1"/>
      <charset val="136"/>
    </font>
    <font>
      <sz val="12"/>
      <color indexed="20"/>
      <name val="????"/>
      <family val="1"/>
      <charset val="136"/>
    </font>
    <font>
      <sz val="12"/>
      <color indexed="63"/>
      <name val="????"/>
      <family val="1"/>
      <charset val="136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2"/>
      <name val="Times New Roman"/>
      <family val="1"/>
    </font>
    <font>
      <sz val="11"/>
      <name val="Comic Sans MS"/>
      <family val="4"/>
    </font>
    <font>
      <b/>
      <sz val="11"/>
      <name val="Comic Sans MS"/>
      <family val="4"/>
    </font>
    <font>
      <b/>
      <vertAlign val="superscript"/>
      <sz val="11"/>
      <name val="Comic Sans MS"/>
      <family val="4"/>
    </font>
    <font>
      <sz val="11"/>
      <color indexed="8"/>
      <name val="Comic Sans MS"/>
      <family val="4"/>
    </font>
    <font>
      <sz val="9"/>
      <name val="Arial"/>
      <family val="2"/>
    </font>
    <font>
      <b/>
      <sz val="10"/>
      <name val="Trebuchet MS"/>
      <family val="2"/>
    </font>
    <font>
      <sz val="10"/>
      <color indexed="8"/>
      <name val="Trebuchet MS"/>
      <family val="2"/>
    </font>
    <font>
      <b/>
      <sz val="10"/>
      <color indexed="8"/>
      <name val="Trebuchet MS"/>
      <family val="2"/>
    </font>
    <font>
      <sz val="10"/>
      <color theme="3" tint="0.59999389629810485"/>
      <name val="Trebuchet MS"/>
      <family val="2"/>
    </font>
    <font>
      <b/>
      <sz val="10"/>
      <color theme="3" tint="0.59999389629810485"/>
      <name val="Trebuchet MS"/>
      <family val="2"/>
    </font>
    <font>
      <b/>
      <sz val="10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sz val="9"/>
      <color theme="3" tint="0.59999389629810485"/>
      <name val="Verdana"/>
      <family val="2"/>
    </font>
    <font>
      <b/>
      <sz val="9"/>
      <color theme="3" tint="0.59999389629810485"/>
      <name val="Verdana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8"/>
      <name val="Arial Narrow"/>
      <family val="2"/>
    </font>
    <font>
      <sz val="11"/>
      <color theme="0"/>
      <name val="Comic Sans MS"/>
      <family val="4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omic Sans MS"/>
      <family val="4"/>
    </font>
    <font>
      <sz val="11"/>
      <name val="Calibri"/>
      <family val="2"/>
      <scheme val="minor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0"/>
      <name val="Bernard MT Condensed"/>
      <family val="1"/>
    </font>
    <font>
      <u/>
      <sz val="7"/>
      <color theme="10"/>
      <name val="Arial"/>
      <family val="2"/>
    </font>
    <font>
      <b/>
      <sz val="12"/>
      <color theme="10"/>
      <name val="Comic Sans MS"/>
      <family val="4"/>
    </font>
    <font>
      <b/>
      <sz val="12"/>
      <color theme="1"/>
      <name val="Comic Sans MS"/>
      <family val="4"/>
    </font>
    <font>
      <b/>
      <i/>
      <sz val="10"/>
      <color rgb="FF0000CC"/>
      <name val="Arial"/>
      <family val="2"/>
    </font>
    <font>
      <sz val="11"/>
      <name val="Calibri"/>
      <family val="2"/>
      <scheme val="minor"/>
    </font>
    <font>
      <b/>
      <i/>
      <sz val="10"/>
      <name val="Arial Narrow"/>
      <family val="2"/>
    </font>
    <font>
      <i/>
      <sz val="10"/>
      <name val="Arial Narrow"/>
      <family val="2"/>
    </font>
    <font>
      <i/>
      <sz val="9"/>
      <name val="Verdana"/>
      <family val="2"/>
    </font>
    <font>
      <b/>
      <i/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omic Sans MS"/>
      <family val="4"/>
    </font>
    <font>
      <b/>
      <sz val="10"/>
      <name val="Comic Sans MS"/>
      <family val="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name val="Arial Narrow"/>
      <family val="2"/>
    </font>
    <font>
      <b/>
      <sz val="14"/>
      <name val="Arial Narrow"/>
      <family val="2"/>
    </font>
    <font>
      <b/>
      <sz val="14"/>
      <name val="Comic Sans MS"/>
      <family val="4"/>
    </font>
    <font>
      <b/>
      <sz val="16"/>
      <name val="Arial"/>
      <family val="2"/>
    </font>
    <font>
      <i/>
      <sz val="8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6"/>
      <name val="Arial"/>
      <family val="2"/>
    </font>
    <font>
      <b/>
      <sz val="18"/>
      <name val="Arial"/>
      <family val="2"/>
    </font>
    <font>
      <b/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8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CC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8"/>
      </right>
      <top/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hair">
        <color indexed="1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12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hair">
        <color indexed="12"/>
      </bottom>
      <diagonal/>
    </border>
    <border>
      <left style="thin">
        <color indexed="8"/>
      </left>
      <right style="thin">
        <color indexed="64"/>
      </right>
      <top style="hair">
        <color indexed="12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ck">
        <color theme="0" tint="-0.499984740745262"/>
      </left>
      <right style="thin">
        <color theme="4"/>
      </right>
      <top style="thick">
        <color rgb="FF002060"/>
      </top>
      <bottom style="thick">
        <color theme="0" tint="-0.499984740745262"/>
      </bottom>
      <diagonal/>
    </border>
    <border>
      <left style="thin">
        <color theme="4"/>
      </left>
      <right style="thin">
        <color theme="4"/>
      </right>
      <top style="thick">
        <color rgb="FF002060"/>
      </top>
      <bottom style="thick">
        <color theme="0" tint="-0.499984740745262"/>
      </bottom>
      <diagonal/>
    </border>
    <border>
      <left style="thin">
        <color theme="4"/>
      </left>
      <right style="thick">
        <color theme="0" tint="-0.499984740745262"/>
      </right>
      <top style="thick">
        <color rgb="FF002060"/>
      </top>
      <bottom style="thick">
        <color theme="0" tint="-0.499984740745262"/>
      </bottom>
      <diagonal/>
    </border>
    <border>
      <left style="thick">
        <color theme="0" tint="-0.34998626667073579"/>
      </left>
      <right style="thin">
        <color theme="4"/>
      </right>
      <top style="thick">
        <color theme="0" tint="-0.499984740745262"/>
      </top>
      <bottom style="thick">
        <color theme="0" tint="-0.34998626667073579"/>
      </bottom>
      <diagonal/>
    </border>
    <border>
      <left style="thin">
        <color theme="4"/>
      </left>
      <right style="thin">
        <color theme="4"/>
      </right>
      <top style="thick">
        <color theme="0" tint="-0.499984740745262"/>
      </top>
      <bottom style="thick">
        <color theme="0" tint="-0.34998626667073579"/>
      </bottom>
      <diagonal/>
    </border>
    <border>
      <left style="thin">
        <color theme="4"/>
      </left>
      <right style="thick">
        <color theme="0" tint="-0.34998626667073579"/>
      </right>
      <top style="thick">
        <color theme="0" tint="-0.499984740745262"/>
      </top>
      <bottom style="thick">
        <color theme="0" tint="-0.34998626667073579"/>
      </bottom>
      <diagonal/>
    </border>
    <border>
      <left style="thick">
        <color rgb="FFFFFF00"/>
      </left>
      <right style="thin">
        <color theme="4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n">
        <color theme="4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ck">
        <color rgb="FFFFFF00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ck">
        <color rgb="FF002060"/>
      </bottom>
      <diagonal/>
    </border>
  </borders>
  <cellStyleXfs count="439">
    <xf numFmtId="0" fontId="0" fillId="0" borderId="0"/>
    <xf numFmtId="43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0" fontId="18" fillId="0" borderId="0"/>
    <xf numFmtId="0" fontId="29" fillId="2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9" fillId="4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7" borderId="0" applyNumberFormat="0" applyBorder="0" applyAlignment="0" applyProtection="0">
      <alignment vertical="center"/>
    </xf>
    <xf numFmtId="0" fontId="30" fillId="8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3" borderId="0" applyNumberFormat="0" applyBorder="0" applyAlignment="0" applyProtection="0">
      <alignment vertical="center"/>
    </xf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31" fillId="0" borderId="0">
      <protection locked="0"/>
    </xf>
    <xf numFmtId="0" fontId="32" fillId="0" borderId="0">
      <protection locked="0"/>
    </xf>
    <xf numFmtId="0" fontId="33" fillId="0" borderId="0">
      <protection locked="0"/>
    </xf>
    <xf numFmtId="0" fontId="34" fillId="0" borderId="0">
      <protection locked="0"/>
    </xf>
    <xf numFmtId="0" fontId="31" fillId="0" borderId="0">
      <protection locked="0"/>
    </xf>
    <xf numFmtId="0" fontId="32" fillId="0" borderId="0">
      <protection locked="0"/>
    </xf>
    <xf numFmtId="0" fontId="33" fillId="0" borderId="0">
      <protection locked="0"/>
    </xf>
    <xf numFmtId="0" fontId="34" fillId="0" borderId="0">
      <protection locked="0"/>
    </xf>
    <xf numFmtId="166" fontId="31" fillId="0" borderId="0">
      <protection locked="0"/>
    </xf>
    <xf numFmtId="0" fontId="35" fillId="0" borderId="0">
      <protection locked="0"/>
    </xf>
    <xf numFmtId="0" fontId="36" fillId="0" borderId="0">
      <protection locked="0"/>
    </xf>
    <xf numFmtId="0" fontId="18" fillId="0" borderId="0"/>
    <xf numFmtId="0" fontId="37" fillId="8" borderId="0" applyNumberFormat="0" applyBorder="0" applyAlignment="0" applyProtection="0">
      <alignment vertical="center"/>
    </xf>
    <xf numFmtId="0" fontId="38" fillId="4" borderId="24" applyNumberFormat="0" applyFont="0" applyAlignment="0" applyProtection="0">
      <alignment vertical="center"/>
    </xf>
    <xf numFmtId="0" fontId="39" fillId="0" borderId="25" applyNumberFormat="0" applyFill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26" applyNumberFormat="0" applyFill="0" applyAlignment="0" applyProtection="0">
      <alignment vertical="center"/>
    </xf>
    <xf numFmtId="0" fontId="44" fillId="0" borderId="27" applyNumberFormat="0" applyFill="0" applyAlignment="0" applyProtection="0">
      <alignment vertical="center"/>
    </xf>
    <xf numFmtId="0" fontId="45" fillId="0" borderId="2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13" borderId="29" applyNumberFormat="0" applyAlignment="0" applyProtection="0">
      <alignment vertical="center"/>
    </xf>
    <xf numFmtId="0" fontId="47" fillId="2" borderId="30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50" fillId="3" borderId="30" applyNumberFormat="0" applyAlignment="0" applyProtection="0">
      <alignment vertical="center"/>
    </xf>
    <xf numFmtId="0" fontId="39" fillId="2" borderId="31" applyNumberFormat="0" applyAlignment="0" applyProtection="0">
      <alignment vertical="center"/>
    </xf>
    <xf numFmtId="0" fontId="51" fillId="0" borderId="32" applyNumberFormat="0" applyFill="0" applyAlignment="0" applyProtection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52" fillId="12" borderId="0" applyNumberFormat="0" applyBorder="0" applyAlignment="0" applyProtection="0">
      <alignment vertical="center"/>
    </xf>
    <xf numFmtId="0" fontId="53" fillId="4" borderId="24" applyNumberFormat="0" applyFont="0" applyAlignment="0" applyProtection="0">
      <alignment vertical="center"/>
    </xf>
    <xf numFmtId="0" fontId="54" fillId="0" borderId="26" applyNumberFormat="0" applyFill="0" applyAlignment="0" applyProtection="0">
      <alignment vertical="center"/>
    </xf>
    <xf numFmtId="0" fontId="55" fillId="0" borderId="27" applyNumberFormat="0" applyFill="0" applyAlignment="0" applyProtection="0">
      <alignment vertical="center"/>
    </xf>
    <xf numFmtId="0" fontId="56" fillId="0" borderId="28" applyNumberFormat="0" applyFill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13" borderId="29" applyNumberFormat="0" applyAlignment="0" applyProtection="0">
      <alignment vertical="center"/>
    </xf>
    <xf numFmtId="0" fontId="59" fillId="0" borderId="32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7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4" fillId="4" borderId="0" applyNumberFormat="0" applyBorder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64" fillId="5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4" fillId="6" borderId="0" applyNumberFormat="0" applyBorder="0" applyAlignment="0" applyProtection="0">
      <alignment vertical="center"/>
    </xf>
    <xf numFmtId="0" fontId="64" fillId="7" borderId="0" applyNumberFormat="0" applyBorder="0" applyAlignment="0" applyProtection="0">
      <alignment vertical="center"/>
    </xf>
    <xf numFmtId="0" fontId="64" fillId="8" borderId="0" applyNumberFormat="0" applyBorder="0" applyAlignment="0" applyProtection="0">
      <alignment vertical="center"/>
    </xf>
    <xf numFmtId="0" fontId="64" fillId="6" borderId="0" applyNumberFormat="0" applyBorder="0" applyAlignment="0" applyProtection="0">
      <alignment vertical="center"/>
    </xf>
    <xf numFmtId="0" fontId="64" fillId="9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7" borderId="0" applyNumberFormat="0" applyBorder="0" applyAlignment="0" applyProtection="0">
      <alignment vertical="center"/>
    </xf>
    <xf numFmtId="0" fontId="62" fillId="8" borderId="0" applyNumberFormat="0" applyBorder="0" applyAlignment="0" applyProtection="0">
      <alignment vertical="center"/>
    </xf>
    <xf numFmtId="0" fontId="62" fillId="6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3" borderId="0" applyNumberFormat="0" applyBorder="0" applyAlignment="0" applyProtection="0">
      <alignment vertical="center"/>
    </xf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65" fillId="0" borderId="0" applyFont="0" applyFill="0" applyBorder="0" applyAlignment="0" applyProtection="0"/>
    <xf numFmtId="41" fontId="65" fillId="0" borderId="0" applyFont="0" applyFill="0" applyBorder="0" applyAlignment="0" applyProtection="0"/>
    <xf numFmtId="41" fontId="65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66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8" fillId="0" borderId="0"/>
    <xf numFmtId="0" fontId="65" fillId="0" borderId="0"/>
    <xf numFmtId="0" fontId="18" fillId="0" borderId="0"/>
    <xf numFmtId="0" fontId="67" fillId="0" borderId="0" applyAlignment="0"/>
    <xf numFmtId="0" fontId="18" fillId="0" borderId="0"/>
    <xf numFmtId="0" fontId="16" fillId="0" borderId="0"/>
    <xf numFmtId="41" fontId="18" fillId="0" borderId="0" applyFont="0" applyFill="0" applyBorder="0" applyAlignment="0" applyProtection="0"/>
    <xf numFmtId="43" fontId="16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6" fillId="0" borderId="0"/>
    <xf numFmtId="0" fontId="18" fillId="0" borderId="0"/>
    <xf numFmtId="0" fontId="18" fillId="0" borderId="0"/>
    <xf numFmtId="0" fontId="18" fillId="0" borderId="0"/>
    <xf numFmtId="43" fontId="15" fillId="0" borderId="0" applyFont="0" applyFill="0" applyBorder="0" applyAlignment="0" applyProtection="0"/>
    <xf numFmtId="0" fontId="15" fillId="0" borderId="0"/>
    <xf numFmtId="43" fontId="14" fillId="0" borderId="0" applyFont="0" applyFill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0" fontId="18" fillId="0" borderId="0"/>
    <xf numFmtId="0" fontId="9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643">
    <xf numFmtId="0" fontId="0" fillId="0" borderId="0" xfId="0"/>
    <xf numFmtId="0" fontId="19" fillId="0" borderId="0" xfId="0" applyFont="1" applyFill="1" applyAlignment="1">
      <alignment vertical="center"/>
    </xf>
    <xf numFmtId="0" fontId="21" fillId="0" borderId="4" xfId="0" applyFont="1" applyFill="1" applyBorder="1" applyAlignment="1">
      <alignment horizontal="left" vertic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Border="1" applyAlignment="1">
      <alignment vertical="center"/>
    </xf>
    <xf numFmtId="0" fontId="22" fillId="0" borderId="11" xfId="0" applyFont="1" applyFill="1" applyBorder="1" applyAlignment="1">
      <alignment vertical="center"/>
    </xf>
    <xf numFmtId="0" fontId="22" fillId="0" borderId="4" xfId="0" applyFont="1" applyFill="1" applyBorder="1" applyAlignment="1">
      <alignment vertical="center"/>
    </xf>
    <xf numFmtId="0" fontId="22" fillId="0" borderId="9" xfId="0" applyFont="1" applyFill="1" applyBorder="1" applyAlignment="1">
      <alignment vertical="center"/>
    </xf>
    <xf numFmtId="0" fontId="22" fillId="0" borderId="6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2" fillId="0" borderId="8" xfId="0" applyFont="1" applyFill="1" applyBorder="1" applyAlignment="1">
      <alignment vertical="center"/>
    </xf>
    <xf numFmtId="0" fontId="24" fillId="0" borderId="1" xfId="0" applyFont="1" applyFill="1" applyBorder="1" applyAlignment="1">
      <alignment vertical="center"/>
    </xf>
    <xf numFmtId="0" fontId="24" fillId="0" borderId="3" xfId="0" applyFon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24" fillId="0" borderId="0" xfId="0" applyFont="1" applyFill="1" applyBorder="1" applyAlignment="1">
      <alignment vertical="center"/>
    </xf>
    <xf numFmtId="0" fontId="24" fillId="0" borderId="11" xfId="0" applyFont="1" applyFill="1" applyBorder="1" applyAlignment="1">
      <alignment vertical="center"/>
    </xf>
    <xf numFmtId="165" fontId="25" fillId="0" borderId="0" xfId="2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26" fillId="0" borderId="16" xfId="0" applyFont="1" applyFill="1" applyBorder="1" applyAlignment="1">
      <alignment vertical="center"/>
    </xf>
    <xf numFmtId="165" fontId="22" fillId="0" borderId="0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vertical="center"/>
    </xf>
    <xf numFmtId="0" fontId="68" fillId="0" borderId="0" xfId="423" applyFont="1" applyAlignment="1">
      <alignment horizontal="left" vertical="center"/>
    </xf>
    <xf numFmtId="0" fontId="68" fillId="0" borderId="0" xfId="423" applyFont="1" applyAlignment="1">
      <alignment vertical="center"/>
    </xf>
    <xf numFmtId="0" fontId="69" fillId="0" borderId="0" xfId="424" applyFont="1" applyFill="1" applyBorder="1" applyAlignment="1">
      <alignment horizontal="left" vertical="center"/>
    </xf>
    <xf numFmtId="0" fontId="18" fillId="0" borderId="0" xfId="423" applyFont="1" applyAlignment="1">
      <alignment vertical="center"/>
    </xf>
    <xf numFmtId="0" fontId="69" fillId="0" borderId="18" xfId="425" applyFont="1" applyFill="1" applyBorder="1" applyAlignment="1">
      <alignment horizontal="center" vertical="center" wrapText="1"/>
    </xf>
    <xf numFmtId="0" fontId="68" fillId="0" borderId="33" xfId="424" applyFont="1" applyFill="1" applyBorder="1" applyAlignment="1">
      <alignment horizontal="center" vertical="center" wrapText="1"/>
    </xf>
    <xf numFmtId="0" fontId="68" fillId="0" borderId="19" xfId="425" applyFont="1" applyFill="1" applyBorder="1" applyAlignment="1">
      <alignment horizontal="center" vertical="center" wrapText="1"/>
    </xf>
    <xf numFmtId="0" fontId="68" fillId="0" borderId="13" xfId="423" applyFont="1" applyBorder="1" applyAlignment="1">
      <alignment horizontal="center" vertical="center"/>
    </xf>
    <xf numFmtId="0" fontId="69" fillId="0" borderId="17" xfId="423" applyFont="1" applyFill="1" applyBorder="1" applyAlignment="1">
      <alignment horizontal="center" vertical="center"/>
    </xf>
    <xf numFmtId="0" fontId="69" fillId="0" borderId="34" xfId="424" applyFont="1" applyFill="1" applyBorder="1" applyAlignment="1">
      <alignment horizontal="center" vertical="center"/>
    </xf>
    <xf numFmtId="0" fontId="69" fillId="0" borderId="35" xfId="424" applyFont="1" applyFill="1" applyBorder="1" applyAlignment="1">
      <alignment horizontal="center" vertical="center" wrapText="1"/>
    </xf>
    <xf numFmtId="0" fontId="69" fillId="0" borderId="35" xfId="424" applyFont="1" applyFill="1" applyBorder="1" applyAlignment="1">
      <alignment horizontal="center" vertical="center"/>
    </xf>
    <xf numFmtId="0" fontId="69" fillId="0" borderId="35" xfId="423" applyFont="1" applyFill="1" applyBorder="1" applyAlignment="1">
      <alignment horizontal="center" vertical="center"/>
    </xf>
    <xf numFmtId="0" fontId="72" fillId="0" borderId="0" xfId="423" applyFont="1" applyAlignment="1">
      <alignment vertical="center"/>
    </xf>
    <xf numFmtId="0" fontId="68" fillId="0" borderId="0" xfId="424" applyFont="1" applyFill="1" applyBorder="1" applyAlignment="1">
      <alignment horizontal="center" vertical="center" wrapText="1"/>
    </xf>
    <xf numFmtId="4" fontId="68" fillId="0" borderId="0" xfId="423" applyNumberFormat="1" applyFont="1" applyAlignment="1">
      <alignment vertical="center"/>
    </xf>
    <xf numFmtId="0" fontId="69" fillId="0" borderId="0" xfId="423" applyFont="1" applyBorder="1" applyAlignment="1">
      <alignment horizontal="center" vertical="center"/>
    </xf>
    <xf numFmtId="164" fontId="69" fillId="0" borderId="0" xfId="425" applyNumberFormat="1" applyFont="1" applyBorder="1" applyAlignment="1">
      <alignment vertical="center"/>
    </xf>
    <xf numFmtId="3" fontId="69" fillId="0" borderId="16" xfId="423" applyNumberFormat="1" applyFont="1" applyFill="1" applyBorder="1" applyAlignment="1">
      <alignment horizontal="center" vertical="center"/>
    </xf>
    <xf numFmtId="0" fontId="69" fillId="0" borderId="18" xfId="423" applyFont="1" applyBorder="1" applyAlignment="1">
      <alignment horizontal="center" vertical="center"/>
    </xf>
    <xf numFmtId="3" fontId="69" fillId="0" borderId="0" xfId="423" applyNumberFormat="1" applyFont="1" applyFill="1" applyBorder="1" applyAlignment="1">
      <alignment horizontal="center" vertical="center"/>
    </xf>
    <xf numFmtId="0" fontId="69" fillId="0" borderId="23" xfId="423" applyFont="1" applyBorder="1" applyAlignment="1">
      <alignment horizontal="center" vertical="center"/>
    </xf>
    <xf numFmtId="0" fontId="69" fillId="0" borderId="23" xfId="423" applyFont="1" applyFill="1" applyBorder="1" applyAlignment="1">
      <alignment horizontal="center" vertical="center"/>
    </xf>
    <xf numFmtId="1" fontId="69" fillId="0" borderId="0" xfId="423" applyNumberFormat="1" applyFont="1" applyBorder="1" applyAlignment="1">
      <alignment horizontal="center" vertical="center"/>
    </xf>
    <xf numFmtId="4" fontId="69" fillId="0" borderId="0" xfId="423" applyNumberFormat="1" applyFont="1" applyBorder="1" applyAlignment="1">
      <alignment horizontal="right" vertical="center"/>
    </xf>
    <xf numFmtId="0" fontId="68" fillId="0" borderId="36" xfId="425" applyFont="1" applyFill="1" applyBorder="1" applyAlignment="1">
      <alignment horizontal="center" vertical="center"/>
    </xf>
    <xf numFmtId="0" fontId="68" fillId="0" borderId="0" xfId="423" applyFont="1" applyAlignment="1">
      <alignment horizontal="center" vertical="center"/>
    </xf>
    <xf numFmtId="164" fontId="22" fillId="0" borderId="38" xfId="1" applyNumberFormat="1" applyFont="1" applyFill="1" applyBorder="1" applyAlignment="1">
      <alignment vertical="center"/>
    </xf>
    <xf numFmtId="164" fontId="22" fillId="0" borderId="42" xfId="1" applyNumberFormat="1" applyFont="1" applyFill="1" applyBorder="1" applyAlignment="1">
      <alignment vertical="center"/>
    </xf>
    <xf numFmtId="37" fontId="73" fillId="0" borderId="39" xfId="1" applyNumberFormat="1" applyFont="1" applyFill="1" applyBorder="1" applyAlignment="1">
      <alignment vertical="center"/>
    </xf>
    <xf numFmtId="37" fontId="21" fillId="0" borderId="39" xfId="1" applyNumberFormat="1" applyFont="1" applyFill="1" applyBorder="1" applyAlignment="1">
      <alignment vertical="center"/>
    </xf>
    <xf numFmtId="0" fontId="21" fillId="0" borderId="12" xfId="0" applyFont="1" applyFill="1" applyBorder="1" applyAlignment="1">
      <alignment horizontal="center" vertical="center"/>
    </xf>
    <xf numFmtId="37" fontId="74" fillId="0" borderId="39" xfId="2" applyNumberFormat="1" applyFont="1" applyFill="1" applyBorder="1" applyAlignment="1">
      <alignment vertical="center"/>
    </xf>
    <xf numFmtId="164" fontId="20" fillId="0" borderId="42" xfId="1" applyNumberFormat="1" applyFont="1" applyFill="1" applyBorder="1" applyAlignment="1">
      <alignment vertical="center"/>
    </xf>
    <xf numFmtId="164" fontId="23" fillId="0" borderId="42" xfId="1" applyNumberFormat="1" applyFont="1" applyFill="1" applyBorder="1" applyAlignment="1">
      <alignment vertical="center"/>
    </xf>
    <xf numFmtId="164" fontId="74" fillId="0" borderId="39" xfId="2" applyNumberFormat="1" applyFont="1" applyFill="1" applyBorder="1" applyAlignment="1">
      <alignment vertical="center"/>
    </xf>
    <xf numFmtId="0" fontId="22" fillId="0" borderId="44" xfId="0" applyFont="1" applyFill="1" applyBorder="1" applyAlignment="1">
      <alignment horizontal="center" vertical="center"/>
    </xf>
    <xf numFmtId="0" fontId="22" fillId="0" borderId="41" xfId="0" applyFont="1" applyFill="1" applyBorder="1" applyAlignment="1">
      <alignment horizontal="center" vertical="center"/>
    </xf>
    <xf numFmtId="0" fontId="79" fillId="0" borderId="0" xfId="0" applyFont="1" applyFill="1" applyBorder="1" applyAlignment="1">
      <alignment horizontal="left" vertical="center"/>
    </xf>
    <xf numFmtId="0" fontId="79" fillId="0" borderId="0" xfId="0" applyFont="1" applyFill="1" applyBorder="1" applyAlignment="1">
      <alignment vertical="center"/>
    </xf>
    <xf numFmtId="0" fontId="79" fillId="24" borderId="0" xfId="0" applyFont="1" applyFill="1" applyBorder="1" applyAlignment="1">
      <alignment vertical="center"/>
    </xf>
    <xf numFmtId="0" fontId="79" fillId="0" borderId="16" xfId="0" applyFont="1" applyFill="1" applyBorder="1" applyAlignment="1">
      <alignment vertical="center"/>
    </xf>
    <xf numFmtId="0" fontId="79" fillId="0" borderId="4" xfId="0" applyFont="1" applyFill="1" applyBorder="1" applyAlignment="1">
      <alignment vertical="center"/>
    </xf>
    <xf numFmtId="0" fontId="79" fillId="0" borderId="9" xfId="0" applyFont="1" applyFill="1" applyBorder="1" applyAlignment="1">
      <alignment vertical="center"/>
    </xf>
    <xf numFmtId="164" fontId="82" fillId="0" borderId="14" xfId="2" applyNumberFormat="1" applyFont="1" applyFill="1" applyBorder="1" applyAlignment="1">
      <alignment vertical="center"/>
    </xf>
    <xf numFmtId="0" fontId="79" fillId="0" borderId="11" xfId="0" applyFont="1" applyFill="1" applyBorder="1" applyAlignment="1">
      <alignment horizontal="right" vertical="center"/>
    </xf>
    <xf numFmtId="0" fontId="83" fillId="0" borderId="11" xfId="0" applyFont="1" applyFill="1" applyBorder="1" applyAlignment="1">
      <alignment horizontal="right" vertical="center"/>
    </xf>
    <xf numFmtId="0" fontId="83" fillId="0" borderId="21" xfId="0" applyFont="1" applyFill="1" applyBorder="1" applyAlignment="1">
      <alignment vertical="center"/>
    </xf>
    <xf numFmtId="0" fontId="83" fillId="0" borderId="22" xfId="0" applyFont="1" applyFill="1" applyBorder="1" applyAlignment="1">
      <alignment vertical="center"/>
    </xf>
    <xf numFmtId="0" fontId="83" fillId="0" borderId="11" xfId="0" quotePrefix="1" applyFont="1" applyFill="1" applyBorder="1" applyAlignment="1">
      <alignment horizontal="right" vertical="center"/>
    </xf>
    <xf numFmtId="0" fontId="83" fillId="0" borderId="0" xfId="0" applyFont="1" applyFill="1" applyBorder="1" applyAlignment="1">
      <alignment vertical="center"/>
    </xf>
    <xf numFmtId="0" fontId="84" fillId="0" borderId="11" xfId="0" quotePrefix="1" applyFont="1" applyFill="1" applyBorder="1" applyAlignment="1">
      <alignment horizontal="right" vertical="center"/>
    </xf>
    <xf numFmtId="0" fontId="84" fillId="0" borderId="0" xfId="0" applyFont="1" applyFill="1" applyBorder="1" applyAlignment="1">
      <alignment vertical="center"/>
    </xf>
    <xf numFmtId="0" fontId="83" fillId="0" borderId="11" xfId="0" applyFont="1" applyFill="1" applyBorder="1" applyAlignment="1">
      <alignment horizontal="left" vertical="center"/>
    </xf>
    <xf numFmtId="0" fontId="83" fillId="0" borderId="0" xfId="0" applyFont="1" applyFill="1" applyBorder="1" applyAlignment="1">
      <alignment horizontal="left" vertical="center"/>
    </xf>
    <xf numFmtId="0" fontId="85" fillId="0" borderId="11" xfId="0" applyFont="1" applyFill="1" applyBorder="1" applyAlignment="1">
      <alignment horizontal="left" vertical="center"/>
    </xf>
    <xf numFmtId="0" fontId="85" fillId="0" borderId="0" xfId="0" applyFont="1" applyFill="1" applyBorder="1" applyAlignment="1">
      <alignment horizontal="left" vertical="center"/>
    </xf>
    <xf numFmtId="0" fontId="85" fillId="0" borderId="11" xfId="0" quotePrefix="1" applyFont="1" applyFill="1" applyBorder="1" applyAlignment="1">
      <alignment horizontal="right" vertical="center"/>
    </xf>
    <xf numFmtId="0" fontId="85" fillId="0" borderId="0" xfId="0" applyFont="1" applyFill="1" applyBorder="1" applyAlignment="1">
      <alignment vertical="center"/>
    </xf>
    <xf numFmtId="0" fontId="86" fillId="24" borderId="0" xfId="0" applyFont="1" applyFill="1" applyBorder="1" applyAlignment="1">
      <alignment vertical="center"/>
    </xf>
    <xf numFmtId="0" fontId="85" fillId="24" borderId="0" xfId="0" applyFont="1" applyFill="1" applyBorder="1" applyAlignment="1">
      <alignment vertical="center"/>
    </xf>
    <xf numFmtId="0" fontId="85" fillId="0" borderId="11" xfId="0" applyFont="1" applyFill="1" applyBorder="1" applyAlignment="1">
      <alignment vertical="center"/>
    </xf>
    <xf numFmtId="0" fontId="85" fillId="0" borderId="12" xfId="0" applyFont="1" applyFill="1" applyBorder="1" applyAlignment="1">
      <alignment vertical="center"/>
    </xf>
    <xf numFmtId="0" fontId="85" fillId="0" borderId="20" xfId="0" applyFont="1" applyFill="1" applyBorder="1" applyAlignment="1">
      <alignment vertical="center"/>
    </xf>
    <xf numFmtId="164" fontId="87" fillId="0" borderId="20" xfId="2" applyNumberFormat="1" applyFont="1" applyFill="1" applyBorder="1" applyAlignment="1">
      <alignment vertical="center"/>
    </xf>
    <xf numFmtId="0" fontId="85" fillId="0" borderId="4" xfId="0" applyFont="1" applyFill="1" applyBorder="1" applyAlignment="1">
      <alignment vertical="center"/>
    </xf>
    <xf numFmtId="0" fontId="86" fillId="23" borderId="9" xfId="0" applyFont="1" applyFill="1" applyBorder="1" applyAlignment="1">
      <alignment vertical="center"/>
    </xf>
    <xf numFmtId="0" fontId="79" fillId="23" borderId="9" xfId="0" applyFont="1" applyFill="1" applyBorder="1" applyAlignment="1">
      <alignment vertical="center"/>
    </xf>
    <xf numFmtId="0" fontId="85" fillId="0" borderId="16" xfId="0" applyFont="1" applyFill="1" applyBorder="1" applyAlignment="1">
      <alignment vertical="center"/>
    </xf>
    <xf numFmtId="0" fontId="85" fillId="0" borderId="1" xfId="0" applyFont="1" applyFill="1" applyBorder="1" applyAlignment="1">
      <alignment vertical="center"/>
    </xf>
    <xf numFmtId="0" fontId="85" fillId="0" borderId="3" xfId="0" applyFont="1" applyFill="1" applyBorder="1" applyAlignment="1">
      <alignment vertical="center"/>
    </xf>
    <xf numFmtId="0" fontId="85" fillId="0" borderId="2" xfId="0" applyFont="1" applyFill="1" applyBorder="1" applyAlignment="1">
      <alignment vertical="center"/>
    </xf>
    <xf numFmtId="0" fontId="85" fillId="0" borderId="6" xfId="0" applyFont="1" applyFill="1" applyBorder="1" applyAlignment="1">
      <alignment vertical="center"/>
    </xf>
    <xf numFmtId="0" fontId="85" fillId="0" borderId="8" xfId="0" applyFont="1" applyFill="1" applyBorder="1" applyAlignment="1">
      <alignment vertical="center"/>
    </xf>
    <xf numFmtId="0" fontId="85" fillId="0" borderId="9" xfId="0" applyFont="1" applyFill="1" applyBorder="1" applyAlignment="1">
      <alignment vertical="center"/>
    </xf>
    <xf numFmtId="0" fontId="85" fillId="0" borderId="5" xfId="0" applyFont="1" applyFill="1" applyBorder="1" applyAlignment="1">
      <alignment horizontal="right" vertical="center"/>
    </xf>
    <xf numFmtId="37" fontId="21" fillId="0" borderId="39" xfId="0" applyNumberFormat="1" applyFont="1" applyFill="1" applyBorder="1" applyAlignment="1">
      <alignment vertical="center"/>
    </xf>
    <xf numFmtId="37" fontId="73" fillId="0" borderId="39" xfId="0" applyNumberFormat="1" applyFont="1" applyFill="1" applyBorder="1" applyAlignment="1">
      <alignment vertical="center"/>
    </xf>
    <xf numFmtId="164" fontId="73" fillId="0" borderId="39" xfId="1" applyNumberFormat="1" applyFont="1" applyFill="1" applyBorder="1" applyAlignment="1">
      <alignment vertical="center"/>
    </xf>
    <xf numFmtId="0" fontId="68" fillId="0" borderId="46" xfId="425" applyFont="1" applyFill="1" applyBorder="1" applyAlignment="1">
      <alignment horizontal="center" vertical="center"/>
    </xf>
    <xf numFmtId="0" fontId="68" fillId="0" borderId="48" xfId="424" applyFont="1" applyFill="1" applyBorder="1" applyAlignment="1">
      <alignment horizontal="center" vertical="center" wrapText="1"/>
    </xf>
    <xf numFmtId="20" fontId="68" fillId="0" borderId="48" xfId="424" applyNumberFormat="1" applyFont="1" applyFill="1" applyBorder="1" applyAlignment="1">
      <alignment horizontal="left" vertical="center"/>
    </xf>
    <xf numFmtId="4" fontId="68" fillId="0" borderId="48" xfId="424" applyNumberFormat="1" applyFont="1" applyFill="1" applyBorder="1" applyAlignment="1">
      <alignment horizontal="left" vertical="center"/>
    </xf>
    <xf numFmtId="1" fontId="68" fillId="0" borderId="48" xfId="425" applyNumberFormat="1" applyFont="1" applyBorder="1" applyAlignment="1">
      <alignment horizontal="center" vertical="center"/>
    </xf>
    <xf numFmtId="4" fontId="68" fillId="0" borderId="48" xfId="425" applyNumberFormat="1" applyFont="1" applyBorder="1" applyAlignment="1">
      <alignment vertical="center"/>
    </xf>
    <xf numFmtId="43" fontId="79" fillId="0" borderId="12" xfId="1" applyFont="1" applyFill="1" applyBorder="1" applyAlignment="1">
      <alignment horizontal="center" vertical="center"/>
    </xf>
    <xf numFmtId="43" fontId="79" fillId="0" borderId="19" xfId="1" applyFont="1" applyFill="1" applyBorder="1" applyAlignment="1">
      <alignment vertical="center"/>
    </xf>
    <xf numFmtId="43" fontId="79" fillId="0" borderId="10" xfId="1" applyFont="1" applyFill="1" applyBorder="1" applyAlignment="1">
      <alignment horizontal="center" vertical="center"/>
    </xf>
    <xf numFmtId="43" fontId="79" fillId="0" borderId="4" xfId="1" applyFont="1" applyFill="1" applyBorder="1" applyAlignment="1">
      <alignment horizontal="center" vertical="center"/>
    </xf>
    <xf numFmtId="43" fontId="79" fillId="0" borderId="5" xfId="1" applyFont="1" applyFill="1" applyBorder="1" applyAlignment="1">
      <alignment horizontal="center" vertical="center"/>
    </xf>
    <xf numFmtId="43" fontId="81" fillId="0" borderId="37" xfId="1" applyFont="1" applyFill="1" applyBorder="1" applyAlignment="1">
      <alignment vertical="center"/>
    </xf>
    <xf numFmtId="43" fontId="81" fillId="0" borderId="12" xfId="1" applyFont="1" applyFill="1" applyBorder="1" applyAlignment="1">
      <alignment vertical="center"/>
    </xf>
    <xf numFmtId="43" fontId="81" fillId="0" borderId="39" xfId="1" applyFont="1" applyFill="1" applyBorder="1" applyAlignment="1">
      <alignment vertical="center"/>
    </xf>
    <xf numFmtId="43" fontId="19" fillId="0" borderId="0" xfId="1" applyFont="1" applyFill="1" applyAlignment="1">
      <alignment vertical="center"/>
    </xf>
    <xf numFmtId="43" fontId="79" fillId="0" borderId="9" xfId="1" applyFont="1" applyFill="1" applyBorder="1" applyAlignment="1">
      <alignment horizontal="center" vertical="center"/>
    </xf>
    <xf numFmtId="43" fontId="79" fillId="0" borderId="19" xfId="1" applyFont="1" applyFill="1" applyBorder="1" applyAlignment="1">
      <alignment horizontal="center" vertical="center"/>
    </xf>
    <xf numFmtId="43" fontId="79" fillId="0" borderId="44" xfId="1" applyFont="1" applyFill="1" applyBorder="1" applyAlignment="1">
      <alignment horizontal="center" vertical="center"/>
    </xf>
    <xf numFmtId="43" fontId="81" fillId="0" borderId="42" xfId="1" applyFont="1" applyFill="1" applyBorder="1" applyAlignment="1">
      <alignment vertical="center"/>
    </xf>
    <xf numFmtId="43" fontId="79" fillId="0" borderId="39" xfId="1" applyFont="1" applyFill="1" applyBorder="1" applyAlignment="1">
      <alignment vertical="center"/>
    </xf>
    <xf numFmtId="43" fontId="79" fillId="0" borderId="42" xfId="1" applyFont="1" applyFill="1" applyBorder="1" applyAlignment="1">
      <alignment vertical="center"/>
    </xf>
    <xf numFmtId="43" fontId="80" fillId="24" borderId="40" xfId="1" applyFont="1" applyFill="1" applyBorder="1" applyAlignment="1">
      <alignment vertical="center"/>
    </xf>
    <xf numFmtId="43" fontId="80" fillId="24" borderId="43" xfId="1" applyFont="1" applyFill="1" applyBorder="1" applyAlignment="1">
      <alignment vertical="center"/>
    </xf>
    <xf numFmtId="43" fontId="79" fillId="0" borderId="11" xfId="1" applyFont="1" applyFill="1" applyBorder="1" applyAlignment="1">
      <alignment vertical="center"/>
    </xf>
    <xf numFmtId="43" fontId="79" fillId="0" borderId="0" xfId="1" applyFont="1" applyFill="1" applyBorder="1" applyAlignment="1">
      <alignment vertical="center"/>
    </xf>
    <xf numFmtId="43" fontId="78" fillId="23" borderId="4" xfId="1" applyFont="1" applyFill="1" applyBorder="1" applyAlignment="1">
      <alignment vertical="center"/>
    </xf>
    <xf numFmtId="43" fontId="78" fillId="23" borderId="9" xfId="1" applyFont="1" applyFill="1" applyBorder="1" applyAlignment="1">
      <alignment vertical="center"/>
    </xf>
    <xf numFmtId="43" fontId="79" fillId="0" borderId="44" xfId="1" applyFont="1" applyFill="1" applyBorder="1" applyAlignment="1">
      <alignment vertical="center"/>
    </xf>
    <xf numFmtId="43" fontId="83" fillId="0" borderId="39" xfId="1" applyFont="1" applyFill="1" applyBorder="1" applyAlignment="1">
      <alignment horizontal="center" vertical="center"/>
    </xf>
    <xf numFmtId="43" fontId="83" fillId="0" borderId="42" xfId="1" applyFont="1" applyFill="1" applyBorder="1" applyAlignment="1">
      <alignment horizontal="center" vertical="center"/>
    </xf>
    <xf numFmtId="43" fontId="83" fillId="0" borderId="37" xfId="1" applyFont="1" applyFill="1" applyBorder="1" applyAlignment="1">
      <alignment vertical="center"/>
    </xf>
    <xf numFmtId="43" fontId="83" fillId="0" borderId="39" xfId="1" applyFont="1" applyFill="1" applyBorder="1" applyAlignment="1">
      <alignment vertical="center"/>
    </xf>
    <xf numFmtId="43" fontId="84" fillId="0" borderId="39" xfId="1" applyFont="1" applyFill="1" applyBorder="1" applyAlignment="1">
      <alignment horizontal="left" vertical="center"/>
    </xf>
    <xf numFmtId="43" fontId="79" fillId="0" borderId="40" xfId="1" applyFont="1" applyFill="1" applyBorder="1" applyAlignment="1">
      <alignment vertical="center"/>
    </xf>
    <xf numFmtId="43" fontId="85" fillId="0" borderId="11" xfId="1" applyFont="1" applyFill="1" applyBorder="1" applyAlignment="1">
      <alignment vertical="center"/>
    </xf>
    <xf numFmtId="43" fontId="85" fillId="0" borderId="0" xfId="1" applyFont="1" applyFill="1" applyBorder="1" applyAlignment="1">
      <alignment vertical="center"/>
    </xf>
    <xf numFmtId="43" fontId="85" fillId="0" borderId="16" xfId="1" applyFont="1" applyFill="1" applyBorder="1" applyAlignment="1">
      <alignment vertical="center"/>
    </xf>
    <xf numFmtId="43" fontId="85" fillId="0" borderId="1" xfId="1" applyFont="1" applyFill="1" applyBorder="1" applyAlignment="1">
      <alignment vertical="center"/>
    </xf>
    <xf numFmtId="43" fontId="85" fillId="0" borderId="3" xfId="1" applyFont="1" applyFill="1" applyBorder="1" applyAlignment="1">
      <alignment vertical="center"/>
    </xf>
    <xf numFmtId="43" fontId="85" fillId="0" borderId="6" xfId="1" applyFont="1" applyFill="1" applyBorder="1" applyAlignment="1">
      <alignment vertical="center"/>
    </xf>
    <xf numFmtId="43" fontId="85" fillId="0" borderId="8" xfId="1" applyFont="1" applyFill="1" applyBorder="1" applyAlignment="1">
      <alignment vertical="center"/>
    </xf>
    <xf numFmtId="43" fontId="85" fillId="0" borderId="9" xfId="1" applyFont="1" applyFill="1" applyBorder="1" applyAlignment="1">
      <alignment vertical="center"/>
    </xf>
    <xf numFmtId="43" fontId="22" fillId="0" borderId="0" xfId="1" applyFont="1" applyFill="1" applyBorder="1" applyAlignment="1">
      <alignment vertical="center"/>
    </xf>
    <xf numFmtId="43" fontId="81" fillId="0" borderId="50" xfId="1" applyFont="1" applyFill="1" applyBorder="1" applyAlignment="1">
      <alignment vertical="center"/>
    </xf>
    <xf numFmtId="0" fontId="22" fillId="0" borderId="9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1" fillId="0" borderId="9" xfId="0" applyFont="1" applyFill="1" applyBorder="1" applyAlignment="1">
      <alignment horizontal="left" vertical="center"/>
    </xf>
    <xf numFmtId="164" fontId="22" fillId="0" borderId="61" xfId="1" applyNumberFormat="1" applyFont="1" applyFill="1" applyBorder="1" applyAlignment="1">
      <alignment vertical="center"/>
    </xf>
    <xf numFmtId="164" fontId="20" fillId="0" borderId="61" xfId="1" applyNumberFormat="1" applyFont="1" applyFill="1" applyBorder="1" applyAlignment="1">
      <alignment vertical="center"/>
    </xf>
    <xf numFmtId="164" fontId="23" fillId="0" borderId="61" xfId="1" applyNumberFormat="1" applyFont="1" applyFill="1" applyBorder="1" applyAlignment="1">
      <alignment vertical="center"/>
    </xf>
    <xf numFmtId="0" fontId="21" fillId="0" borderId="5" xfId="0" applyFont="1" applyFill="1" applyBorder="1" applyAlignment="1">
      <alignment horizontal="left" vertical="center"/>
    </xf>
    <xf numFmtId="0" fontId="85" fillId="0" borderId="50" xfId="0" applyFont="1" applyFill="1" applyBorder="1" applyAlignment="1">
      <alignment vertical="center"/>
    </xf>
    <xf numFmtId="0" fontId="85" fillId="0" borderId="61" xfId="0" applyFont="1" applyFill="1" applyBorder="1" applyAlignment="1">
      <alignment vertical="center"/>
    </xf>
    <xf numFmtId="164" fontId="87" fillId="0" borderId="61" xfId="2" applyNumberFormat="1" applyFont="1" applyFill="1" applyBorder="1" applyAlignment="1">
      <alignment vertical="center"/>
    </xf>
    <xf numFmtId="164" fontId="82" fillId="0" borderId="51" xfId="2" applyNumberFormat="1" applyFont="1" applyFill="1" applyBorder="1" applyAlignment="1">
      <alignment vertical="center"/>
    </xf>
    <xf numFmtId="49" fontId="68" fillId="0" borderId="54" xfId="424" applyNumberFormat="1" applyFont="1" applyFill="1" applyBorder="1" applyAlignment="1">
      <alignment horizontal="center" vertical="center" wrapText="1"/>
    </xf>
    <xf numFmtId="20" fontId="68" fillId="0" borderId="54" xfId="424" applyNumberFormat="1" applyFont="1" applyFill="1" applyBorder="1" applyAlignment="1">
      <alignment horizontal="left" vertical="center"/>
    </xf>
    <xf numFmtId="4" fontId="68" fillId="0" borderId="54" xfId="424" applyNumberFormat="1" applyFont="1" applyFill="1" applyBorder="1" applyAlignment="1">
      <alignment horizontal="left" vertical="center"/>
    </xf>
    <xf numFmtId="1" fontId="68" fillId="0" borderId="54" xfId="425" applyNumberFormat="1" applyFont="1" applyFill="1" applyBorder="1" applyAlignment="1">
      <alignment horizontal="center" vertical="center"/>
    </xf>
    <xf numFmtId="4" fontId="68" fillId="0" borderId="54" xfId="425" applyNumberFormat="1" applyFont="1" applyFill="1" applyBorder="1" applyAlignment="1">
      <alignment vertical="center"/>
    </xf>
    <xf numFmtId="4" fontId="68" fillId="0" borderId="54" xfId="425" applyNumberFormat="1" applyFont="1" applyBorder="1" applyAlignment="1">
      <alignment vertical="center"/>
    </xf>
    <xf numFmtId="0" fontId="68" fillId="0" borderId="62" xfId="424" applyFont="1" applyFill="1" applyBorder="1" applyAlignment="1">
      <alignment horizontal="center" vertical="center" wrapText="1"/>
    </xf>
    <xf numFmtId="49" fontId="68" fillId="0" borderId="54" xfId="423" applyNumberFormat="1" applyFont="1" applyFill="1" applyBorder="1" applyAlignment="1">
      <alignment horizontal="center" vertical="center"/>
    </xf>
    <xf numFmtId="3" fontId="68" fillId="0" borderId="54" xfId="423" applyNumberFormat="1" applyFont="1" applyFill="1" applyBorder="1" applyAlignment="1">
      <alignment horizontal="left" vertical="center"/>
    </xf>
    <xf numFmtId="0" fontId="68" fillId="0" borderId="54" xfId="423" applyFont="1" applyFill="1" applyBorder="1" applyAlignment="1">
      <alignment horizontal="left" vertical="center"/>
    </xf>
    <xf numFmtId="3" fontId="68" fillId="0" borderId="54" xfId="423" applyNumberFormat="1" applyFont="1" applyFill="1" applyBorder="1" applyAlignment="1">
      <alignment horizontal="center" vertical="center"/>
    </xf>
    <xf numFmtId="4" fontId="71" fillId="0" borderId="54" xfId="423" applyNumberFormat="1" applyFont="1" applyFill="1" applyBorder="1" applyAlignment="1">
      <alignment horizontal="right" vertical="center"/>
    </xf>
    <xf numFmtId="43" fontId="68" fillId="0" borderId="15" xfId="428" applyFont="1" applyBorder="1" applyAlignment="1">
      <alignment horizontal="right" vertical="center"/>
    </xf>
    <xf numFmtId="43" fontId="68" fillId="0" borderId="49" xfId="428" applyFont="1" applyBorder="1" applyAlignment="1">
      <alignment horizontal="right" vertical="center"/>
    </xf>
    <xf numFmtId="43" fontId="69" fillId="0" borderId="56" xfId="428" applyFont="1" applyBorder="1" applyAlignment="1">
      <alignment horizontal="right" vertical="center"/>
    </xf>
    <xf numFmtId="43" fontId="69" fillId="0" borderId="23" xfId="428" applyFont="1" applyBorder="1" applyAlignment="1">
      <alignment horizontal="right" vertical="center"/>
    </xf>
    <xf numFmtId="0" fontId="21" fillId="0" borderId="65" xfId="0" applyFont="1" applyFill="1" applyBorder="1" applyAlignment="1">
      <alignment vertical="center"/>
    </xf>
    <xf numFmtId="164" fontId="74" fillId="0" borderId="66" xfId="2" applyNumberFormat="1" applyFont="1" applyFill="1" applyBorder="1" applyAlignment="1">
      <alignment vertical="center"/>
    </xf>
    <xf numFmtId="164" fontId="75" fillId="0" borderId="66" xfId="2" applyNumberFormat="1" applyFont="1" applyFill="1" applyBorder="1" applyAlignment="1">
      <alignment vertical="center"/>
    </xf>
    <xf numFmtId="0" fontId="21" fillId="0" borderId="1" xfId="0" applyFont="1" applyFill="1" applyBorder="1" applyAlignment="1">
      <alignment vertical="center"/>
    </xf>
    <xf numFmtId="164" fontId="74" fillId="0" borderId="3" xfId="2" applyNumberFormat="1" applyFont="1" applyFill="1" applyBorder="1" applyAlignment="1">
      <alignment vertical="center"/>
    </xf>
    <xf numFmtId="164" fontId="75" fillId="0" borderId="3" xfId="2" applyNumberFormat="1" applyFont="1" applyFill="1" applyBorder="1" applyAlignment="1">
      <alignment vertical="center"/>
    </xf>
    <xf numFmtId="43" fontId="81" fillId="0" borderId="20" xfId="1" applyFont="1" applyFill="1" applyBorder="1" applyAlignment="1">
      <alignment vertical="center"/>
    </xf>
    <xf numFmtId="43" fontId="81" fillId="0" borderId="66" xfId="1" applyFont="1" applyFill="1" applyBorder="1" applyAlignment="1">
      <alignment vertical="center"/>
    </xf>
    <xf numFmtId="43" fontId="76" fillId="0" borderId="66" xfId="1" applyFont="1" applyFill="1" applyBorder="1" applyAlignment="1">
      <alignment horizontal="center" vertical="center"/>
    </xf>
    <xf numFmtId="43" fontId="76" fillId="0" borderId="66" xfId="1" applyFont="1" applyFill="1" applyBorder="1" applyAlignment="1">
      <alignment vertical="center"/>
    </xf>
    <xf numFmtId="43" fontId="77" fillId="0" borderId="66" xfId="1" applyFont="1" applyFill="1" applyBorder="1" applyAlignment="1">
      <alignment horizontal="center" vertical="center"/>
    </xf>
    <xf numFmtId="43" fontId="77" fillId="0" borderId="66" xfId="1" applyFont="1" applyFill="1" applyBorder="1" applyAlignment="1">
      <alignment vertical="center"/>
    </xf>
    <xf numFmtId="43" fontId="77" fillId="0" borderId="66" xfId="1" applyFont="1" applyFill="1" applyBorder="1" applyAlignment="1">
      <alignment horizontal="left" vertical="center"/>
    </xf>
    <xf numFmtId="43" fontId="21" fillId="0" borderId="67" xfId="1" applyFont="1" applyFill="1" applyBorder="1" applyAlignment="1">
      <alignment vertical="center"/>
    </xf>
    <xf numFmtId="0" fontId="22" fillId="0" borderId="45" xfId="0" applyFont="1" applyFill="1" applyBorder="1" applyAlignment="1">
      <alignment vertical="center"/>
    </xf>
    <xf numFmtId="0" fontId="76" fillId="0" borderId="65" xfId="0" applyFont="1" applyFill="1" applyBorder="1" applyAlignment="1">
      <alignment horizontal="center" vertical="center"/>
    </xf>
    <xf numFmtId="0" fontId="76" fillId="0" borderId="66" xfId="0" applyFont="1" applyFill="1" applyBorder="1" applyAlignment="1">
      <alignment horizontal="center" vertical="center"/>
    </xf>
    <xf numFmtId="0" fontId="76" fillId="0" borderId="45" xfId="0" applyFont="1" applyFill="1" applyBorder="1" applyAlignment="1">
      <alignment horizontal="center" vertical="center"/>
    </xf>
    <xf numFmtId="164" fontId="76" fillId="0" borderId="47" xfId="0" applyNumberFormat="1" applyFont="1" applyFill="1" applyBorder="1" applyAlignment="1">
      <alignment horizontal="center" vertical="center"/>
    </xf>
    <xf numFmtId="164" fontId="76" fillId="0" borderId="65" xfId="0" applyNumberFormat="1" applyFont="1" applyFill="1" applyBorder="1" applyAlignment="1">
      <alignment horizontal="center" vertical="center"/>
    </xf>
    <xf numFmtId="164" fontId="76" fillId="0" borderId="47" xfId="2" applyNumberFormat="1" applyFont="1" applyFill="1" applyBorder="1" applyAlignment="1">
      <alignment vertical="center"/>
    </xf>
    <xf numFmtId="164" fontId="77" fillId="0" borderId="47" xfId="0" applyNumberFormat="1" applyFont="1" applyFill="1" applyBorder="1" applyAlignment="1">
      <alignment horizontal="center" vertical="center"/>
    </xf>
    <xf numFmtId="164" fontId="76" fillId="0" borderId="65" xfId="2" applyNumberFormat="1" applyFont="1" applyFill="1" applyBorder="1" applyAlignment="1">
      <alignment vertical="center"/>
    </xf>
    <xf numFmtId="164" fontId="76" fillId="0" borderId="65" xfId="1" applyNumberFormat="1" applyFont="1" applyFill="1" applyBorder="1" applyAlignment="1">
      <alignment vertical="center"/>
    </xf>
    <xf numFmtId="164" fontId="76" fillId="0" borderId="47" xfId="1" applyNumberFormat="1" applyFont="1" applyFill="1" applyBorder="1" applyAlignment="1">
      <alignment vertical="center"/>
    </xf>
    <xf numFmtId="164" fontId="77" fillId="0" borderId="65" xfId="1" applyNumberFormat="1" applyFont="1" applyFill="1" applyBorder="1" applyAlignment="1">
      <alignment horizontal="left" vertical="center"/>
    </xf>
    <xf numFmtId="164" fontId="77" fillId="0" borderId="47" xfId="1" applyNumberFormat="1" applyFont="1" applyFill="1" applyBorder="1" applyAlignment="1">
      <alignment horizontal="left" vertical="center"/>
    </xf>
    <xf numFmtId="0" fontId="76" fillId="0" borderId="65" xfId="0" applyFont="1" applyFill="1" applyBorder="1" applyAlignment="1">
      <alignment vertical="center"/>
    </xf>
    <xf numFmtId="4" fontId="76" fillId="0" borderId="47" xfId="0" applyNumberFormat="1" applyFont="1" applyFill="1" applyBorder="1" applyAlignment="1">
      <alignment vertical="center"/>
    </xf>
    <xf numFmtId="0" fontId="21" fillId="0" borderId="68" xfId="0" applyFont="1" applyFill="1" applyBorder="1" applyAlignment="1">
      <alignment vertical="center"/>
    </xf>
    <xf numFmtId="4" fontId="21" fillId="0" borderId="67" xfId="0" applyNumberFormat="1" applyFont="1" applyFill="1" applyBorder="1" applyAlignment="1">
      <alignment vertical="center"/>
    </xf>
    <xf numFmtId="4" fontId="21" fillId="0" borderId="69" xfId="0" applyNumberFormat="1" applyFont="1" applyFill="1" applyBorder="1" applyAlignment="1">
      <alignment vertical="center"/>
    </xf>
    <xf numFmtId="167" fontId="0" fillId="0" borderId="60" xfId="0" applyNumberFormat="1" applyBorder="1" applyAlignment="1">
      <alignment horizontal="center" vertical="center"/>
    </xf>
    <xf numFmtId="167" fontId="0" fillId="0" borderId="52" xfId="0" applyNumberFormat="1" applyBorder="1" applyAlignment="1">
      <alignment horizontal="center" vertical="center"/>
    </xf>
    <xf numFmtId="0" fontId="0" fillId="0" borderId="0" xfId="0" applyFill="1" applyBorder="1"/>
    <xf numFmtId="168" fontId="0" fillId="0" borderId="0" xfId="0" applyNumberFormat="1" applyFont="1" applyFill="1" applyBorder="1" applyAlignment="1">
      <alignment horizontal="center"/>
    </xf>
    <xf numFmtId="3" fontId="92" fillId="0" borderId="0" xfId="423" applyNumberFormat="1" applyFont="1" applyFill="1" applyBorder="1" applyAlignment="1">
      <alignment horizontal="left" vertical="center"/>
    </xf>
    <xf numFmtId="3" fontId="92" fillId="0" borderId="0" xfId="423" applyNumberFormat="1" applyFont="1" applyFill="1" applyBorder="1" applyAlignment="1">
      <alignment horizontal="center" vertical="center"/>
    </xf>
    <xf numFmtId="0" fontId="92" fillId="0" borderId="0" xfId="423" applyFont="1" applyFill="1" applyBorder="1" applyAlignment="1">
      <alignment horizontal="left" vertical="center"/>
    </xf>
    <xf numFmtId="0" fontId="92" fillId="0" borderId="0" xfId="423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quotePrefix="1" applyFill="1" applyBorder="1"/>
    <xf numFmtId="43" fontId="92" fillId="0" borderId="0" xfId="1" applyFont="1" applyFill="1" applyBorder="1" applyAlignment="1">
      <alignment horizontal="right" vertical="center"/>
    </xf>
    <xf numFmtId="43" fontId="0" fillId="0" borderId="0" xfId="1" applyFont="1" applyFill="1" applyBorder="1"/>
    <xf numFmtId="0" fontId="0" fillId="0" borderId="0" xfId="0" applyNumberFormat="1" applyFont="1" applyFill="1" applyBorder="1" applyProtection="1"/>
    <xf numFmtId="0" fontId="0" fillId="0" borderId="0" xfId="423" applyFont="1" applyAlignment="1">
      <alignment horizontal="center" vertical="center"/>
    </xf>
    <xf numFmtId="0" fontId="91" fillId="27" borderId="0" xfId="424" applyFont="1" applyFill="1" applyAlignment="1">
      <alignment horizontal="center" vertical="center"/>
    </xf>
    <xf numFmtId="0" fontId="91" fillId="28" borderId="0" xfId="424" applyFont="1" applyFill="1" applyAlignment="1">
      <alignment horizontal="center" vertical="center"/>
    </xf>
    <xf numFmtId="0" fontId="95" fillId="0" borderId="0" xfId="423" applyFont="1" applyAlignment="1">
      <alignment horizontal="center" vertical="center"/>
    </xf>
    <xf numFmtId="15" fontId="97" fillId="0" borderId="8" xfId="437" applyNumberFormat="1" applyFont="1" applyFill="1" applyBorder="1" applyAlignment="1" applyProtection="1">
      <alignment vertical="center"/>
    </xf>
    <xf numFmtId="43" fontId="68" fillId="0" borderId="0" xfId="1" applyFont="1" applyAlignment="1">
      <alignment vertic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3" fontId="69" fillId="0" borderId="0" xfId="1" applyFont="1" applyBorder="1" applyAlignment="1">
      <alignment horizontal="right" vertical="center"/>
    </xf>
    <xf numFmtId="43" fontId="69" fillId="0" borderId="0" xfId="1" applyFont="1" applyBorder="1" applyAlignment="1">
      <alignment horizontal="center" vertical="center"/>
    </xf>
    <xf numFmtId="0" fontId="68" fillId="0" borderId="0" xfId="423" applyFont="1" applyAlignment="1" applyProtection="1">
      <alignment vertical="center"/>
      <protection locked="0"/>
    </xf>
    <xf numFmtId="0" fontId="91" fillId="27" borderId="0" xfId="424" applyFont="1" applyFill="1" applyAlignment="1">
      <alignment horizontal="center" vertical="center" wrapText="1"/>
    </xf>
    <xf numFmtId="43" fontId="0" fillId="29" borderId="52" xfId="1" applyFont="1" applyFill="1" applyBorder="1" applyAlignment="1">
      <alignment horizontal="right" vertical="center"/>
    </xf>
    <xf numFmtId="0" fontId="0" fillId="0" borderId="7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89" fillId="25" borderId="76" xfId="0" applyFont="1" applyFill="1" applyBorder="1" applyAlignment="1">
      <alignment horizontal="center" vertical="center"/>
    </xf>
    <xf numFmtId="0" fontId="19" fillId="0" borderId="0" xfId="0" applyFont="1" applyFill="1" applyAlignment="1" applyProtection="1">
      <alignment vertical="center"/>
      <protection locked="0"/>
    </xf>
    <xf numFmtId="43" fontId="0" fillId="0" borderId="53" xfId="1" applyFont="1" applyBorder="1" applyAlignment="1" applyProtection="1">
      <alignment horizontal="right" vertical="center"/>
      <protection locked="0"/>
    </xf>
    <xf numFmtId="43" fontId="0" fillId="0" borderId="52" xfId="1" applyFont="1" applyBorder="1" applyAlignment="1" applyProtection="1">
      <alignment horizontal="right" vertical="center"/>
      <protection locked="0"/>
    </xf>
    <xf numFmtId="0" fontId="0" fillId="0" borderId="65" xfId="0" applyBorder="1" applyAlignment="1" applyProtection="1">
      <alignment horizontal="center" vertical="center"/>
      <protection locked="0"/>
    </xf>
    <xf numFmtId="4" fontId="69" fillId="0" borderId="79" xfId="423" applyNumberFormat="1" applyFont="1" applyBorder="1" applyAlignment="1">
      <alignment horizontal="right" vertical="center"/>
    </xf>
    <xf numFmtId="0" fontId="99" fillId="25" borderId="16" xfId="0" applyFont="1" applyFill="1" applyBorder="1" applyAlignment="1">
      <alignment horizontal="center" vertical="center"/>
    </xf>
    <xf numFmtId="0" fontId="99" fillId="25" borderId="15" xfId="0" applyFont="1" applyFill="1" applyBorder="1" applyAlignment="1">
      <alignment horizontal="center" vertical="center"/>
    </xf>
    <xf numFmtId="0" fontId="99" fillId="25" borderId="15" xfId="0" applyFont="1" applyFill="1" applyBorder="1" applyAlignment="1">
      <alignment horizontal="center" vertical="center" wrapText="1"/>
    </xf>
    <xf numFmtId="0" fontId="99" fillId="25" borderId="11" xfId="0" applyFont="1" applyFill="1" applyBorder="1" applyAlignment="1">
      <alignment horizontal="center" vertical="center"/>
    </xf>
    <xf numFmtId="0" fontId="69" fillId="0" borderId="56" xfId="428" applyNumberFormat="1" applyFont="1" applyBorder="1" applyAlignment="1">
      <alignment horizontal="center" vertical="center"/>
    </xf>
    <xf numFmtId="0" fontId="68" fillId="0" borderId="15" xfId="428" applyNumberFormat="1" applyFont="1" applyBorder="1" applyAlignment="1">
      <alignment horizontal="center" vertical="center"/>
    </xf>
    <xf numFmtId="0" fontId="68" fillId="0" borderId="49" xfId="428" applyNumberFormat="1" applyFont="1" applyBorder="1" applyAlignment="1">
      <alignment horizontal="center" vertical="center"/>
    </xf>
    <xf numFmtId="0" fontId="100" fillId="0" borderId="0" xfId="423" applyNumberFormat="1" applyFont="1" applyFill="1" applyBorder="1" applyAlignment="1">
      <alignment horizontal="center" vertical="center"/>
    </xf>
    <xf numFmtId="0" fontId="0" fillId="0" borderId="0" xfId="0" applyNumberFormat="1" applyFill="1" applyBorder="1" applyProtection="1"/>
    <xf numFmtId="49" fontId="68" fillId="0" borderId="17" xfId="423" quotePrefix="1" applyNumberFormat="1" applyFont="1" applyFill="1" applyBorder="1" applyAlignment="1" applyProtection="1">
      <alignment horizontal="center" vertical="center"/>
      <protection hidden="1"/>
    </xf>
    <xf numFmtId="3" fontId="68" fillId="0" borderId="17" xfId="423" applyNumberFormat="1" applyFont="1" applyFill="1" applyBorder="1" applyAlignment="1" applyProtection="1">
      <alignment horizontal="left" vertical="center"/>
      <protection hidden="1"/>
    </xf>
    <xf numFmtId="0" fontId="68" fillId="0" borderId="17" xfId="423" applyFont="1" applyFill="1" applyBorder="1" applyAlignment="1" applyProtection="1">
      <alignment horizontal="left" vertical="center"/>
      <protection hidden="1"/>
    </xf>
    <xf numFmtId="3" fontId="68" fillId="0" borderId="17" xfId="423" applyNumberFormat="1" applyFont="1" applyFill="1" applyBorder="1" applyAlignment="1" applyProtection="1">
      <alignment horizontal="center" vertical="center"/>
      <protection hidden="1"/>
    </xf>
    <xf numFmtId="4" fontId="71" fillId="0" borderId="53" xfId="423" applyNumberFormat="1" applyFont="1" applyFill="1" applyBorder="1" applyAlignment="1" applyProtection="1">
      <alignment horizontal="right" vertical="center"/>
      <protection hidden="1"/>
    </xf>
    <xf numFmtId="4" fontId="71" fillId="0" borderId="17" xfId="423" applyNumberFormat="1" applyFont="1" applyFill="1" applyBorder="1" applyAlignment="1" applyProtection="1">
      <alignment horizontal="right" vertical="center"/>
      <protection hidden="1"/>
    </xf>
    <xf numFmtId="0" fontId="68" fillId="0" borderId="52" xfId="423" applyNumberFormat="1" applyFont="1" applyFill="1" applyBorder="1" applyAlignment="1" applyProtection="1">
      <alignment horizontal="center" vertical="center"/>
      <protection hidden="1"/>
    </xf>
    <xf numFmtId="0" fontId="68" fillId="0" borderId="53" xfId="423" applyFont="1" applyFill="1" applyBorder="1" applyAlignment="1" applyProtection="1">
      <alignment horizontal="left" vertical="center"/>
      <protection hidden="1"/>
    </xf>
    <xf numFmtId="3" fontId="68" fillId="0" borderId="53" xfId="423" applyNumberFormat="1" applyFont="1" applyFill="1" applyBorder="1" applyAlignment="1" applyProtection="1">
      <alignment horizontal="center" vertical="center"/>
      <protection hidden="1"/>
    </xf>
    <xf numFmtId="0" fontId="68" fillId="0" borderId="52" xfId="423" applyFont="1" applyFill="1" applyBorder="1" applyAlignment="1" applyProtection="1">
      <alignment horizontal="left" vertical="center"/>
      <protection hidden="1"/>
    </xf>
    <xf numFmtId="3" fontId="68" fillId="0" borderId="52" xfId="423" applyNumberFormat="1" applyFont="1" applyFill="1" applyBorder="1" applyAlignment="1" applyProtection="1">
      <alignment horizontal="center" vertical="center"/>
      <protection hidden="1"/>
    </xf>
    <xf numFmtId="4" fontId="71" fillId="0" borderId="52" xfId="423" applyNumberFormat="1" applyFont="1" applyFill="1" applyBorder="1" applyAlignment="1" applyProtection="1">
      <alignment horizontal="right" vertical="center"/>
      <protection hidden="1"/>
    </xf>
    <xf numFmtId="0" fontId="68" fillId="0" borderId="73" xfId="423" quotePrefix="1" applyFont="1" applyFill="1" applyBorder="1" applyAlignment="1" applyProtection="1">
      <alignment horizontal="center" vertical="center"/>
      <protection hidden="1"/>
    </xf>
    <xf numFmtId="0" fontId="68" fillId="0" borderId="73" xfId="423" applyFont="1" applyFill="1" applyBorder="1" applyAlignment="1" applyProtection="1">
      <alignment horizontal="left" vertical="center"/>
      <protection hidden="1"/>
    </xf>
    <xf numFmtId="0" fontId="68" fillId="0" borderId="73" xfId="423" applyFont="1" applyFill="1" applyBorder="1" applyAlignment="1" applyProtection="1">
      <alignment horizontal="center" vertical="center"/>
      <protection hidden="1"/>
    </xf>
    <xf numFmtId="4" fontId="68" fillId="0" borderId="73" xfId="423" applyNumberFormat="1" applyFont="1" applyFill="1" applyBorder="1" applyAlignment="1" applyProtection="1">
      <alignment horizontal="right" vertical="center"/>
      <protection hidden="1"/>
    </xf>
    <xf numFmtId="0" fontId="68" fillId="0" borderId="52" xfId="423" quotePrefix="1" applyFont="1" applyFill="1" applyBorder="1" applyAlignment="1" applyProtection="1">
      <alignment horizontal="center" vertical="center"/>
      <protection hidden="1"/>
    </xf>
    <xf numFmtId="0" fontId="68" fillId="0" borderId="52" xfId="423" applyFont="1" applyFill="1" applyBorder="1" applyAlignment="1" applyProtection="1">
      <alignment horizontal="center" vertical="center"/>
      <protection hidden="1"/>
    </xf>
    <xf numFmtId="4" fontId="68" fillId="0" borderId="52" xfId="423" applyNumberFormat="1" applyFont="1" applyFill="1" applyBorder="1" applyAlignment="1" applyProtection="1">
      <alignment horizontal="right" vertical="center"/>
      <protection hidden="1"/>
    </xf>
    <xf numFmtId="0" fontId="91" fillId="28" borderId="0" xfId="424" applyFont="1" applyFill="1" applyAlignment="1">
      <alignment horizontal="center" vertical="center" wrapText="1"/>
    </xf>
    <xf numFmtId="169" fontId="21" fillId="0" borderId="5" xfId="0" applyNumberFormat="1" applyFont="1" applyFill="1" applyBorder="1" applyAlignment="1" applyProtection="1">
      <alignment horizontal="left" vertical="center"/>
      <protection locked="0"/>
    </xf>
    <xf numFmtId="170" fontId="98" fillId="0" borderId="8" xfId="0" applyNumberFormat="1" applyFont="1" applyFill="1" applyBorder="1" applyAlignment="1" applyProtection="1">
      <alignment horizontal="center" vertical="center"/>
      <protection locked="0"/>
    </xf>
    <xf numFmtId="37" fontId="21" fillId="0" borderId="80" xfId="0" applyNumberFormat="1" applyFont="1" applyFill="1" applyBorder="1" applyAlignment="1">
      <alignment horizontal="center" vertical="center"/>
    </xf>
    <xf numFmtId="0" fontId="22" fillId="0" borderId="81" xfId="0" applyFont="1" applyFill="1" applyBorder="1" applyAlignment="1">
      <alignment horizontal="center" vertical="center"/>
    </xf>
    <xf numFmtId="0" fontId="22" fillId="0" borderId="78" xfId="0" applyFont="1" applyFill="1" applyBorder="1" applyAlignment="1">
      <alignment horizontal="center" vertical="center"/>
    </xf>
    <xf numFmtId="0" fontId="85" fillId="0" borderId="82" xfId="0" applyFont="1" applyFill="1" applyBorder="1" applyAlignment="1">
      <alignment vertical="center"/>
    </xf>
    <xf numFmtId="37" fontId="21" fillId="0" borderId="82" xfId="0" applyNumberFormat="1" applyFont="1" applyFill="1" applyBorder="1" applyAlignment="1">
      <alignment horizontal="center" vertical="center"/>
    </xf>
    <xf numFmtId="0" fontId="22" fillId="0" borderId="83" xfId="0" applyFont="1" applyFill="1" applyBorder="1" applyAlignment="1">
      <alignment horizontal="center" vertical="center"/>
    </xf>
    <xf numFmtId="0" fontId="22" fillId="0" borderId="84" xfId="0" applyFont="1" applyFill="1" applyBorder="1" applyAlignment="1">
      <alignment horizontal="center" vertical="center"/>
    </xf>
    <xf numFmtId="0" fontId="101" fillId="23" borderId="83" xfId="0" applyFont="1" applyFill="1" applyBorder="1" applyAlignment="1">
      <alignment vertical="center"/>
    </xf>
    <xf numFmtId="0" fontId="102" fillId="23" borderId="83" xfId="0" applyFont="1" applyFill="1" applyBorder="1" applyAlignment="1">
      <alignment vertical="center"/>
    </xf>
    <xf numFmtId="0" fontId="103" fillId="23" borderId="83" xfId="0" applyFont="1" applyFill="1" applyBorder="1" applyAlignment="1">
      <alignment vertical="center"/>
    </xf>
    <xf numFmtId="43" fontId="104" fillId="23" borderId="82" xfId="1" applyFont="1" applyFill="1" applyBorder="1" applyAlignment="1">
      <alignment horizontal="center" vertical="center"/>
    </xf>
    <xf numFmtId="43" fontId="104" fillId="23" borderId="82" xfId="1" applyFont="1" applyFill="1" applyBorder="1" applyAlignment="1">
      <alignment vertical="center"/>
    </xf>
    <xf numFmtId="43" fontId="104" fillId="23" borderId="83" xfId="1" applyFont="1" applyFill="1" applyBorder="1" applyAlignment="1">
      <alignment vertical="center"/>
    </xf>
    <xf numFmtId="0" fontId="13" fillId="0" borderId="0" xfId="430" applyBorder="1"/>
    <xf numFmtId="0" fontId="13" fillId="0" borderId="0" xfId="430" applyNumberFormat="1" applyFont="1" applyFill="1" applyBorder="1" applyAlignment="1">
      <alignment horizontal="center" vertical="center"/>
    </xf>
    <xf numFmtId="0" fontId="13" fillId="0" borderId="0" xfId="430" applyFont="1" applyFill="1" applyBorder="1" applyAlignment="1">
      <alignment vertical="center"/>
    </xf>
    <xf numFmtId="0" fontId="13" fillId="0" borderId="0" xfId="430" applyNumberFormat="1" applyFont="1" applyFill="1" applyBorder="1" applyAlignment="1">
      <alignment vertical="center"/>
    </xf>
    <xf numFmtId="0" fontId="13" fillId="0" borderId="0" xfId="430" applyFont="1" applyFill="1" applyBorder="1" applyAlignment="1">
      <alignment horizontal="center" vertical="center"/>
    </xf>
    <xf numFmtId="0" fontId="10" fillId="0" borderId="0" xfId="430" applyNumberFormat="1" applyFont="1" applyFill="1" applyBorder="1" applyAlignment="1">
      <alignment vertical="center"/>
    </xf>
    <xf numFmtId="0" fontId="9" fillId="0" borderId="0" xfId="430" applyFont="1" applyFill="1" applyBorder="1" applyAlignment="1">
      <alignment vertical="center"/>
    </xf>
    <xf numFmtId="0" fontId="12" fillId="0" borderId="0" xfId="430" applyFont="1" applyFill="1" applyBorder="1" applyAlignment="1">
      <alignment vertical="center"/>
    </xf>
    <xf numFmtId="0" fontId="8" fillId="0" borderId="0" xfId="430" applyFont="1" applyFill="1" applyBorder="1" applyAlignment="1">
      <alignment vertical="center"/>
    </xf>
    <xf numFmtId="0" fontId="8" fillId="0" borderId="0" xfId="430" applyNumberFormat="1" applyFont="1" applyFill="1" applyBorder="1" applyAlignment="1">
      <alignment vertical="center"/>
    </xf>
    <xf numFmtId="0" fontId="68" fillId="0" borderId="87" xfId="425" applyFont="1" applyFill="1" applyBorder="1" applyAlignment="1">
      <alignment horizontal="center" vertical="center"/>
    </xf>
    <xf numFmtId="0" fontId="68" fillId="0" borderId="88" xfId="425" applyFont="1" applyFill="1" applyBorder="1" applyAlignment="1">
      <alignment horizontal="center" vertical="center"/>
    </xf>
    <xf numFmtId="0" fontId="5" fillId="0" borderId="0" xfId="430" applyNumberFormat="1" applyFont="1" applyFill="1" applyBorder="1" applyAlignment="1">
      <alignment vertical="center"/>
    </xf>
    <xf numFmtId="0" fontId="108" fillId="0" borderId="0" xfId="0" applyFont="1" applyFill="1" applyBorder="1" applyAlignment="1">
      <alignment horizontal="center" vertical="center"/>
    </xf>
    <xf numFmtId="3" fontId="69" fillId="20" borderId="12" xfId="423" applyNumberFormat="1" applyFont="1" applyFill="1" applyBorder="1" applyAlignment="1">
      <alignment vertical="center"/>
    </xf>
    <xf numFmtId="3" fontId="69" fillId="20" borderId="14" xfId="423" applyNumberFormat="1" applyFont="1" applyFill="1" applyBorder="1" applyAlignment="1">
      <alignment vertical="center"/>
    </xf>
    <xf numFmtId="3" fontId="69" fillId="20" borderId="65" xfId="423" applyNumberFormat="1" applyFont="1" applyFill="1" applyBorder="1" applyAlignment="1">
      <alignment vertical="center"/>
    </xf>
    <xf numFmtId="3" fontId="69" fillId="20" borderId="51" xfId="423" applyNumberFormat="1" applyFont="1" applyFill="1" applyBorder="1" applyAlignment="1">
      <alignment vertical="center"/>
    </xf>
    <xf numFmtId="1" fontId="68" fillId="0" borderId="49" xfId="428" applyNumberFormat="1" applyFont="1" applyBorder="1" applyAlignment="1">
      <alignment horizontal="center" vertical="center"/>
    </xf>
    <xf numFmtId="4" fontId="69" fillId="29" borderId="79" xfId="423" applyNumberFormat="1" applyFont="1" applyFill="1" applyBorder="1" applyAlignment="1">
      <alignment horizontal="right" vertical="center"/>
    </xf>
    <xf numFmtId="4" fontId="69" fillId="29" borderId="10" xfId="423" applyNumberFormat="1" applyFont="1" applyFill="1" applyBorder="1" applyAlignment="1">
      <alignment horizontal="right" vertical="center"/>
    </xf>
    <xf numFmtId="1" fontId="69" fillId="0" borderId="91" xfId="423" applyNumberFormat="1" applyFont="1" applyBorder="1" applyAlignment="1">
      <alignment horizontal="center" vertical="center"/>
    </xf>
    <xf numFmtId="4" fontId="69" fillId="0" borderId="91" xfId="423" applyNumberFormat="1" applyFont="1" applyBorder="1" applyAlignment="1">
      <alignment horizontal="right" vertical="center"/>
    </xf>
    <xf numFmtId="1" fontId="69" fillId="0" borderId="92" xfId="423" applyNumberFormat="1" applyFont="1" applyBorder="1" applyAlignment="1">
      <alignment horizontal="center" vertical="center"/>
    </xf>
    <xf numFmtId="4" fontId="69" fillId="0" borderId="92" xfId="423" applyNumberFormat="1" applyFont="1" applyBorder="1" applyAlignment="1">
      <alignment horizontal="right" vertical="center"/>
    </xf>
    <xf numFmtId="0" fontId="69" fillId="0" borderId="79" xfId="423" applyFont="1" applyBorder="1" applyAlignment="1">
      <alignment horizontal="center" vertical="center"/>
    </xf>
    <xf numFmtId="1" fontId="69" fillId="0" borderId="79" xfId="423" applyNumberFormat="1" applyFont="1" applyBorder="1" applyAlignment="1">
      <alignment horizontal="center" vertical="center"/>
    </xf>
    <xf numFmtId="1" fontId="69" fillId="0" borderId="23" xfId="428" applyNumberFormat="1" applyFont="1" applyBorder="1" applyAlignment="1">
      <alignment horizontal="center" vertical="center"/>
    </xf>
    <xf numFmtId="2" fontId="68" fillId="0" borderId="0" xfId="424" applyNumberFormat="1" applyFont="1" applyFill="1" applyBorder="1" applyAlignment="1">
      <alignment horizontal="center" vertical="center" wrapText="1"/>
    </xf>
    <xf numFmtId="2" fontId="72" fillId="0" borderId="0" xfId="423" applyNumberFormat="1" applyFont="1" applyFill="1" applyAlignment="1">
      <alignment vertical="center"/>
    </xf>
    <xf numFmtId="2" fontId="68" fillId="0" borderId="0" xfId="423" applyNumberFormat="1" applyFont="1" applyFill="1" applyAlignment="1">
      <alignment vertical="center"/>
    </xf>
    <xf numFmtId="2" fontId="0" fillId="0" borderId="0" xfId="423" applyNumberFormat="1" applyFont="1" applyFill="1" applyAlignment="1">
      <alignment horizontal="center" vertical="center"/>
    </xf>
    <xf numFmtId="43" fontId="69" fillId="0" borderId="92" xfId="1" applyFont="1" applyBorder="1" applyAlignment="1">
      <alignment horizontal="right" vertical="center"/>
    </xf>
    <xf numFmtId="43" fontId="69" fillId="0" borderId="79" xfId="1" applyFont="1" applyBorder="1" applyAlignment="1">
      <alignment horizontal="right" vertical="center"/>
    </xf>
    <xf numFmtId="43" fontId="69" fillId="23" borderId="79" xfId="1" applyFont="1" applyFill="1" applyBorder="1" applyAlignment="1">
      <alignment horizontal="right" vertical="center"/>
    </xf>
    <xf numFmtId="0" fontId="0" fillId="0" borderId="79" xfId="0" applyBorder="1"/>
    <xf numFmtId="0" fontId="0" fillId="0" borderId="0" xfId="0" applyFill="1"/>
    <xf numFmtId="0" fontId="90" fillId="0" borderId="0" xfId="430" applyFont="1" applyFill="1" applyBorder="1" applyAlignment="1">
      <alignment horizontal="center" vertical="center"/>
    </xf>
    <xf numFmtId="0" fontId="90" fillId="0" borderId="0" xfId="430" applyFont="1" applyFill="1" applyBorder="1" applyAlignment="1">
      <alignment vertical="center"/>
    </xf>
    <xf numFmtId="0" fontId="111" fillId="0" borderId="93" xfId="430" applyFont="1" applyFill="1" applyBorder="1" applyAlignment="1">
      <alignment vertical="center"/>
    </xf>
    <xf numFmtId="0" fontId="110" fillId="0" borderId="0" xfId="430" applyFont="1" applyFill="1" applyAlignment="1">
      <alignment horizontal="center" vertical="center"/>
    </xf>
    <xf numFmtId="0" fontId="11" fillId="0" borderId="0" xfId="430" applyFont="1" applyFill="1" applyBorder="1" applyAlignment="1">
      <alignment vertical="center"/>
    </xf>
    <xf numFmtId="0" fontId="11" fillId="0" borderId="0" xfId="430" applyNumberFormat="1" applyFont="1" applyFill="1" applyBorder="1" applyAlignment="1">
      <alignment vertical="center"/>
    </xf>
    <xf numFmtId="0" fontId="7" fillId="0" borderId="0" xfId="430" applyFont="1" applyFill="1" applyBorder="1" applyAlignment="1">
      <alignment vertical="center"/>
    </xf>
    <xf numFmtId="0" fontId="7" fillId="0" borderId="0" xfId="430" applyNumberFormat="1" applyFont="1" applyFill="1" applyBorder="1" applyAlignment="1">
      <alignment vertical="center"/>
    </xf>
    <xf numFmtId="0" fontId="105" fillId="0" borderId="0" xfId="430" applyNumberFormat="1" applyFont="1" applyFill="1" applyBorder="1" applyAlignment="1">
      <alignment horizontal="center" vertical="center"/>
    </xf>
    <xf numFmtId="0" fontId="105" fillId="0" borderId="0" xfId="430" applyNumberFormat="1" applyFont="1" applyFill="1" applyBorder="1" applyAlignment="1">
      <alignment vertical="center"/>
    </xf>
    <xf numFmtId="0" fontId="106" fillId="0" borderId="0" xfId="430" applyNumberFormat="1" applyFont="1" applyFill="1" applyBorder="1" applyAlignment="1">
      <alignment horizontal="center" vertical="center"/>
    </xf>
    <xf numFmtId="0" fontId="6" fillId="0" borderId="0" xfId="430" applyFont="1" applyFill="1" applyBorder="1" applyAlignment="1">
      <alignment vertical="center"/>
    </xf>
    <xf numFmtId="0" fontId="106" fillId="0" borderId="0" xfId="430" applyNumberFormat="1" applyFont="1" applyFill="1" applyBorder="1" applyAlignment="1">
      <alignment vertical="center"/>
    </xf>
    <xf numFmtId="0" fontId="107" fillId="0" borderId="0" xfId="430" applyNumberFormat="1" applyFont="1" applyFill="1" applyBorder="1" applyAlignment="1">
      <alignment horizontal="center" vertical="center"/>
    </xf>
    <xf numFmtId="0" fontId="107" fillId="0" borderId="0" xfId="430" applyFont="1" applyFill="1" applyBorder="1" applyAlignment="1">
      <alignment vertical="center"/>
    </xf>
    <xf numFmtId="0" fontId="107" fillId="0" borderId="0" xfId="430" applyNumberFormat="1" applyFont="1" applyFill="1" applyBorder="1" applyAlignment="1">
      <alignment vertical="center"/>
    </xf>
    <xf numFmtId="0" fontId="89" fillId="0" borderId="0" xfId="0" applyFont="1"/>
    <xf numFmtId="0" fontId="0" fillId="0" borderId="0" xfId="0" applyAlignment="1">
      <alignment horizontal="center" vertical="center"/>
    </xf>
    <xf numFmtId="0" fontId="4" fillId="0" borderId="0" xfId="430" applyFont="1" applyFill="1" applyBorder="1" applyAlignment="1">
      <alignment vertical="center"/>
    </xf>
    <xf numFmtId="0" fontId="112" fillId="26" borderId="0" xfId="0" applyNumberFormat="1" applyFont="1" applyFill="1" applyBorder="1" applyProtection="1"/>
    <xf numFmtId="0" fontId="0" fillId="0" borderId="0" xfId="0" applyNumberFormat="1" applyFill="1" applyBorder="1" applyAlignment="1">
      <alignment vertical="center"/>
    </xf>
    <xf numFmtId="168" fontId="112" fillId="0" borderId="0" xfId="0" applyNumberFormat="1" applyFont="1" applyFill="1" applyBorder="1" applyAlignment="1">
      <alignment horizontal="center"/>
    </xf>
    <xf numFmtId="0" fontId="113" fillId="0" borderId="0" xfId="423" applyNumberFormat="1" applyFont="1" applyFill="1" applyAlignment="1">
      <alignment horizontal="center" vertical="center"/>
    </xf>
    <xf numFmtId="3" fontId="113" fillId="0" borderId="0" xfId="423" applyNumberFormat="1" applyFont="1" applyFill="1" applyAlignment="1">
      <alignment horizontal="left" vertical="center"/>
    </xf>
    <xf numFmtId="0" fontId="113" fillId="0" borderId="0" xfId="423" applyFont="1" applyFill="1" applyAlignment="1">
      <alignment horizontal="left" vertical="center"/>
    </xf>
    <xf numFmtId="3" fontId="113" fillId="0" borderId="0" xfId="423" applyNumberFormat="1" applyFont="1" applyFill="1" applyAlignment="1">
      <alignment horizontal="center" vertical="center"/>
    </xf>
    <xf numFmtId="43" fontId="113" fillId="0" borderId="0" xfId="1" applyFont="1" applyFill="1" applyBorder="1" applyAlignment="1">
      <alignment horizontal="right" vertical="center"/>
    </xf>
    <xf numFmtId="43" fontId="112" fillId="0" borderId="0" xfId="1" applyNumberFormat="1" applyFont="1" applyFill="1" applyBorder="1"/>
    <xf numFmtId="0" fontId="0" fillId="0" borderId="0" xfId="0" applyNumberFormat="1" applyFill="1" applyBorder="1"/>
    <xf numFmtId="0" fontId="113" fillId="0" borderId="0" xfId="423" applyNumberFormat="1" applyFont="1" applyFill="1" applyBorder="1" applyAlignment="1">
      <alignment horizontal="center" vertical="center"/>
    </xf>
    <xf numFmtId="3" fontId="113" fillId="0" borderId="0" xfId="423" applyNumberFormat="1" applyFont="1" applyFill="1" applyBorder="1" applyAlignment="1">
      <alignment horizontal="left" vertical="center"/>
    </xf>
    <xf numFmtId="0" fontId="113" fillId="0" borderId="0" xfId="423" applyFont="1" applyFill="1" applyBorder="1" applyAlignment="1">
      <alignment horizontal="left" vertical="center"/>
    </xf>
    <xf numFmtId="3" fontId="113" fillId="0" borderId="0" xfId="423" applyNumberFormat="1" applyFont="1" applyFill="1" applyBorder="1" applyAlignment="1">
      <alignment horizontal="center" vertical="center"/>
    </xf>
    <xf numFmtId="0" fontId="0" fillId="26" borderId="0" xfId="0" applyNumberFormat="1" applyFont="1" applyFill="1" applyBorder="1" applyProtection="1"/>
    <xf numFmtId="0" fontId="92" fillId="0" borderId="0" xfId="423" applyNumberFormat="1" applyFont="1" applyFill="1" applyAlignment="1">
      <alignment horizontal="center" vertical="center"/>
    </xf>
    <xf numFmtId="3" fontId="92" fillId="0" borderId="0" xfId="423" applyNumberFormat="1" applyFont="1" applyFill="1" applyAlignment="1">
      <alignment horizontal="left" vertical="center"/>
    </xf>
    <xf numFmtId="0" fontId="92" fillId="0" borderId="0" xfId="423" applyFont="1" applyFill="1" applyAlignment="1">
      <alignment horizontal="left" vertical="center"/>
    </xf>
    <xf numFmtId="3" fontId="92" fillId="0" borderId="0" xfId="423" applyNumberFormat="1" applyFont="1" applyFill="1" applyAlignment="1">
      <alignment horizontal="center" vertical="center"/>
    </xf>
    <xf numFmtId="43" fontId="0" fillId="0" borderId="0" xfId="1" applyNumberFormat="1" applyFont="1" applyFill="1" applyBorder="1"/>
    <xf numFmtId="168" fontId="0" fillId="0" borderId="0" xfId="0" applyNumberFormat="1" applyFill="1" applyBorder="1" applyAlignment="1">
      <alignment horizontal="center"/>
    </xf>
    <xf numFmtId="0" fontId="114" fillId="26" borderId="0" xfId="0" applyNumberFormat="1" applyFont="1" applyFill="1" applyBorder="1" applyProtection="1"/>
    <xf numFmtId="168" fontId="114" fillId="0" borderId="0" xfId="0" applyNumberFormat="1" applyFont="1" applyFill="1" applyBorder="1" applyAlignment="1">
      <alignment horizontal="center"/>
    </xf>
    <xf numFmtId="0" fontId="115" fillId="0" borderId="0" xfId="423" applyNumberFormat="1" applyFont="1" applyFill="1" applyAlignment="1">
      <alignment horizontal="center" vertical="center"/>
    </xf>
    <xf numFmtId="3" fontId="115" fillId="0" borderId="0" xfId="423" applyNumberFormat="1" applyFont="1" applyFill="1" applyAlignment="1">
      <alignment horizontal="left" vertical="center"/>
    </xf>
    <xf numFmtId="0" fontId="115" fillId="0" borderId="0" xfId="423" applyFont="1" applyFill="1" applyAlignment="1">
      <alignment horizontal="left" vertical="center"/>
    </xf>
    <xf numFmtId="3" fontId="115" fillId="0" borderId="0" xfId="423" applyNumberFormat="1" applyFont="1" applyFill="1" applyAlignment="1">
      <alignment horizontal="center" vertical="center"/>
    </xf>
    <xf numFmtId="43" fontId="115" fillId="0" borderId="0" xfId="1" applyFont="1" applyFill="1" applyBorder="1" applyAlignment="1">
      <alignment horizontal="right" vertical="center"/>
    </xf>
    <xf numFmtId="43" fontId="114" fillId="0" borderId="0" xfId="1" applyNumberFormat="1" applyFont="1" applyFill="1" applyBorder="1"/>
    <xf numFmtId="0" fontId="115" fillId="0" borderId="0" xfId="423" applyNumberFormat="1" applyFont="1" applyFill="1" applyBorder="1" applyAlignment="1">
      <alignment horizontal="center" vertical="center"/>
    </xf>
    <xf numFmtId="3" fontId="115" fillId="0" borderId="0" xfId="423" applyNumberFormat="1" applyFont="1" applyFill="1" applyBorder="1" applyAlignment="1">
      <alignment horizontal="left" vertical="center"/>
    </xf>
    <xf numFmtId="0" fontId="115" fillId="0" borderId="0" xfId="423" applyFont="1" applyFill="1" applyBorder="1" applyAlignment="1">
      <alignment horizontal="left" vertical="center"/>
    </xf>
    <xf numFmtId="3" fontId="115" fillId="0" borderId="0" xfId="423" applyNumberFormat="1" applyFont="1" applyFill="1" applyBorder="1" applyAlignment="1">
      <alignment horizontal="center" vertical="center"/>
    </xf>
    <xf numFmtId="0" fontId="89" fillId="25" borderId="76" xfId="0" applyFont="1" applyFill="1" applyBorder="1" applyAlignment="1">
      <alignment horizontal="center" vertical="center"/>
    </xf>
    <xf numFmtId="169" fontId="85" fillId="0" borderId="7" xfId="0" applyNumberFormat="1" applyFont="1" applyFill="1" applyBorder="1" applyAlignment="1" applyProtection="1">
      <alignment horizontal="left" vertical="center"/>
      <protection locked="0"/>
    </xf>
    <xf numFmtId="43" fontId="118" fillId="0" borderId="11" xfId="1" applyFont="1" applyFill="1" applyBorder="1" applyAlignment="1">
      <alignment vertical="center"/>
    </xf>
    <xf numFmtId="43" fontId="118" fillId="0" borderId="0" xfId="1" applyFont="1" applyFill="1" applyBorder="1" applyAlignment="1">
      <alignment vertical="center"/>
    </xf>
    <xf numFmtId="43" fontId="118" fillId="0" borderId="16" xfId="1" applyFont="1" applyFill="1" applyBorder="1" applyAlignment="1">
      <alignment vertical="center"/>
    </xf>
    <xf numFmtId="43" fontId="118" fillId="0" borderId="1" xfId="1" applyFont="1" applyFill="1" applyBorder="1" applyAlignment="1">
      <alignment vertical="center"/>
    </xf>
    <xf numFmtId="43" fontId="118" fillId="0" borderId="2" xfId="1" applyFont="1" applyFill="1" applyBorder="1" applyAlignment="1">
      <alignment horizontal="left" vertical="center"/>
    </xf>
    <xf numFmtId="169" fontId="118" fillId="0" borderId="0" xfId="1" applyNumberFormat="1" applyFont="1" applyFill="1" applyBorder="1" applyAlignment="1">
      <alignment horizontal="left" vertical="center"/>
    </xf>
    <xf numFmtId="43" fontId="118" fillId="0" borderId="16" xfId="1" applyFont="1" applyFill="1" applyBorder="1" applyAlignment="1">
      <alignment horizontal="left" vertical="center"/>
    </xf>
    <xf numFmtId="43" fontId="118" fillId="0" borderId="6" xfId="1" applyFont="1" applyFill="1" applyBorder="1" applyAlignment="1">
      <alignment vertical="center"/>
    </xf>
    <xf numFmtId="169" fontId="118" fillId="0" borderId="8" xfId="1" applyNumberFormat="1" applyFont="1" applyFill="1" applyBorder="1" applyAlignment="1">
      <alignment horizontal="left" vertical="center"/>
    </xf>
    <xf numFmtId="170" fontId="118" fillId="0" borderId="7" xfId="1" applyNumberFormat="1" applyFont="1" applyFill="1" applyBorder="1" applyAlignment="1" applyProtection="1">
      <alignment horizontal="left" vertical="center"/>
      <protection locked="0"/>
    </xf>
    <xf numFmtId="169" fontId="119" fillId="0" borderId="91" xfId="1" applyNumberFormat="1" applyFont="1" applyFill="1" applyBorder="1" applyAlignment="1">
      <alignment horizontal="left" vertical="center"/>
    </xf>
    <xf numFmtId="169" fontId="85" fillId="0" borderId="16" xfId="0" applyNumberFormat="1" applyFont="1" applyFill="1" applyBorder="1" applyAlignment="1" applyProtection="1">
      <alignment horizontal="left" vertical="center"/>
      <protection locked="0"/>
    </xf>
    <xf numFmtId="169" fontId="85" fillId="0" borderId="94" xfId="0" applyNumberFormat="1" applyFont="1" applyFill="1" applyBorder="1" applyAlignment="1" applyProtection="1">
      <alignment horizontal="left" vertical="center"/>
      <protection locked="0"/>
    </xf>
    <xf numFmtId="169" fontId="98" fillId="0" borderId="8" xfId="0" applyNumberFormat="1" applyFont="1" applyFill="1" applyBorder="1" applyAlignment="1" applyProtection="1">
      <alignment horizontal="center" vertical="center"/>
      <protection locked="0"/>
    </xf>
    <xf numFmtId="0" fontId="120" fillId="0" borderId="0" xfId="423" applyFont="1" applyAlignment="1">
      <alignment horizontal="left" vertical="center"/>
    </xf>
    <xf numFmtId="0" fontId="69" fillId="0" borderId="0" xfId="424" applyFont="1" applyFill="1" applyBorder="1" applyAlignment="1">
      <alignment horizontal="right" vertical="center"/>
    </xf>
    <xf numFmtId="0" fontId="19" fillId="0" borderId="0" xfId="0" applyFont="1" applyFill="1" applyAlignment="1">
      <alignment vertical="center" wrapText="1"/>
    </xf>
    <xf numFmtId="0" fontId="0" fillId="0" borderId="0" xfId="0" applyAlignment="1" applyProtection="1">
      <protection locked="0"/>
    </xf>
    <xf numFmtId="0" fontId="0" fillId="0" borderId="0" xfId="0" applyAlignment="1"/>
    <xf numFmtId="0" fontId="0" fillId="0" borderId="0" xfId="0" applyAlignment="1">
      <alignment vertical="top"/>
    </xf>
    <xf numFmtId="0" fontId="19" fillId="0" borderId="79" xfId="0" applyFont="1" applyFill="1" applyBorder="1" applyAlignment="1">
      <alignment horizontal="center" vertical="center"/>
    </xf>
    <xf numFmtId="172" fontId="19" fillId="0" borderId="79" xfId="0" applyNumberFormat="1" applyFont="1" applyFill="1" applyBorder="1" applyAlignment="1">
      <alignment horizontal="center" vertical="center" wrapText="1"/>
    </xf>
    <xf numFmtId="0" fontId="0" fillId="0" borderId="79" xfId="0" applyBorder="1" applyAlignment="1">
      <alignment horizontal="right" wrapText="1"/>
    </xf>
    <xf numFmtId="0" fontId="0" fillId="0" borderId="79" xfId="0" applyBorder="1" applyAlignment="1">
      <alignment horizontal="right" vertical="top" wrapText="1"/>
    </xf>
    <xf numFmtId="167" fontId="0" fillId="0" borderId="0" xfId="0" applyNumberFormat="1"/>
    <xf numFmtId="0" fontId="121" fillId="0" borderId="0" xfId="0" applyFont="1" applyAlignment="1">
      <alignment horizontal="centerContinuous"/>
    </xf>
    <xf numFmtId="0" fontId="89" fillId="0" borderId="0" xfId="0" applyFont="1" applyAlignment="1">
      <alignment horizontal="distributed"/>
    </xf>
    <xf numFmtId="0" fontId="89" fillId="0" borderId="0" xfId="0" applyFont="1" applyAlignment="1"/>
    <xf numFmtId="172" fontId="89" fillId="0" borderId="0" xfId="0" applyNumberFormat="1" applyFont="1" applyAlignment="1">
      <alignment horizontal="left" vertical="center"/>
    </xf>
    <xf numFmtId="0" fontId="122" fillId="25" borderId="76" xfId="0" applyFont="1" applyFill="1" applyBorder="1" applyAlignment="1">
      <alignment horizontal="center" vertical="center"/>
    </xf>
    <xf numFmtId="43" fontId="123" fillId="0" borderId="13" xfId="1" applyNumberFormat="1" applyFont="1" applyFill="1" applyBorder="1" applyAlignment="1">
      <alignment horizontal="right" vertical="center"/>
    </xf>
    <xf numFmtId="43" fontId="123" fillId="0" borderId="52" xfId="1" applyNumberFormat="1" applyFont="1" applyFill="1" applyBorder="1" applyAlignment="1">
      <alignment horizontal="right" vertical="center"/>
    </xf>
    <xf numFmtId="43" fontId="123" fillId="0" borderId="95" xfId="1" applyNumberFormat="1" applyFont="1" applyFill="1" applyBorder="1" applyAlignment="1">
      <alignment horizontal="right" vertical="center"/>
    </xf>
    <xf numFmtId="167" fontId="124" fillId="0" borderId="79" xfId="0" applyNumberFormat="1" applyFont="1" applyFill="1" applyBorder="1" applyAlignment="1">
      <alignment horizontal="center" vertical="center"/>
    </xf>
    <xf numFmtId="43" fontId="123" fillId="0" borderId="79" xfId="1" applyNumberFormat="1" applyFont="1" applyFill="1" applyBorder="1" applyAlignment="1">
      <alignment horizontal="right" vertical="center"/>
    </xf>
    <xf numFmtId="43" fontId="124" fillId="0" borderId="79" xfId="1" applyFont="1" applyFill="1" applyBorder="1" applyAlignment="1">
      <alignment horizontal="right" vertical="center"/>
    </xf>
    <xf numFmtId="0" fontId="125" fillId="0" borderId="0" xfId="0" applyFont="1" applyAlignment="1">
      <alignment horizontal="centerContinuous"/>
    </xf>
    <xf numFmtId="14" fontId="0" fillId="0" borderId="0" xfId="0" applyNumberFormat="1"/>
    <xf numFmtId="0" fontId="126" fillId="0" borderId="0" xfId="0" applyFont="1" applyAlignment="1">
      <alignment horizontal="centerContinuous"/>
    </xf>
    <xf numFmtId="0" fontId="122" fillId="0" borderId="76" xfId="0" applyFont="1" applyFill="1" applyBorder="1" applyAlignment="1">
      <alignment horizontal="center" vertical="center"/>
    </xf>
    <xf numFmtId="167" fontId="124" fillId="0" borderId="82" xfId="0" applyNumberFormat="1" applyFont="1" applyFill="1" applyBorder="1" applyAlignment="1">
      <alignment horizontal="center" vertical="center"/>
    </xf>
    <xf numFmtId="0" fontId="122" fillId="25" borderId="82" xfId="0" applyFont="1" applyFill="1" applyBorder="1" applyAlignment="1">
      <alignment vertical="center"/>
    </xf>
    <xf numFmtId="0" fontId="122" fillId="25" borderId="84" xfId="0" applyFont="1" applyFill="1" applyBorder="1" applyAlignment="1">
      <alignment vertical="center"/>
    </xf>
    <xf numFmtId="173" fontId="123" fillId="0" borderId="52" xfId="0" applyNumberFormat="1" applyFont="1" applyFill="1" applyBorder="1" applyAlignment="1">
      <alignment horizontal="center" vertical="center"/>
    </xf>
    <xf numFmtId="173" fontId="0" fillId="0" borderId="0" xfId="0" applyNumberFormat="1"/>
    <xf numFmtId="0" fontId="122" fillId="0" borderId="82" xfId="0" applyFont="1" applyFill="1" applyBorder="1" applyAlignment="1">
      <alignment vertical="center"/>
    </xf>
    <xf numFmtId="0" fontId="122" fillId="0" borderId="84" xfId="0" applyFont="1" applyFill="1" applyBorder="1" applyAlignment="1">
      <alignment vertical="center"/>
    </xf>
    <xf numFmtId="0" fontId="0" fillId="0" borderId="0" xfId="0" applyNumberFormat="1"/>
    <xf numFmtId="0" fontId="121" fillId="0" borderId="0" xfId="0" applyFont="1" applyAlignment="1">
      <alignment horizontal="center"/>
    </xf>
    <xf numFmtId="0" fontId="121" fillId="0" borderId="0" xfId="0" applyFont="1" applyAlignment="1"/>
    <xf numFmtId="0" fontId="90" fillId="0" borderId="0" xfId="0" applyFont="1" applyAlignment="1">
      <alignment horizontal="right"/>
    </xf>
    <xf numFmtId="171" fontId="90" fillId="0" borderId="0" xfId="23" applyNumberFormat="1" applyFont="1" applyAlignment="1"/>
    <xf numFmtId="0" fontId="0" fillId="0" borderId="0" xfId="0" applyFont="1" applyAlignment="1"/>
    <xf numFmtId="171" fontId="0" fillId="0" borderId="0" xfId="23" applyNumberFormat="1" applyFont="1" applyAlignment="1"/>
    <xf numFmtId="0" fontId="127" fillId="30" borderId="0" xfId="0" applyFont="1" applyFill="1" applyAlignment="1">
      <alignment vertical="center"/>
    </xf>
    <xf numFmtId="171" fontId="127" fillId="29" borderId="0" xfId="23" applyNumberFormat="1" applyFont="1" applyFill="1" applyAlignment="1">
      <alignment vertical="center"/>
    </xf>
    <xf numFmtId="171" fontId="128" fillId="0" borderId="0" xfId="23" applyNumberFormat="1" applyFont="1" applyAlignment="1"/>
    <xf numFmtId="0" fontId="129" fillId="31" borderId="0" xfId="0" applyFont="1" applyFill="1" applyAlignment="1">
      <alignment horizontal="left" vertical="center"/>
    </xf>
    <xf numFmtId="171" fontId="116" fillId="33" borderId="96" xfId="23" applyNumberFormat="1" applyFont="1" applyFill="1" applyBorder="1" applyAlignment="1"/>
    <xf numFmtId="171" fontId="117" fillId="33" borderId="97" xfId="23" applyNumberFormat="1" applyFont="1" applyFill="1" applyBorder="1" applyAlignment="1"/>
    <xf numFmtId="171" fontId="117" fillId="33" borderId="98" xfId="23" applyNumberFormat="1" applyFont="1" applyFill="1" applyBorder="1" applyAlignment="1"/>
    <xf numFmtId="171" fontId="116" fillId="34" borderId="99" xfId="23" applyNumberFormat="1" applyFont="1" applyFill="1" applyBorder="1" applyAlignment="1"/>
    <xf numFmtId="171" fontId="117" fillId="34" borderId="100" xfId="23" applyNumberFormat="1" applyFont="1" applyFill="1" applyBorder="1" applyAlignment="1"/>
    <xf numFmtId="171" fontId="117" fillId="34" borderId="101" xfId="23" applyNumberFormat="1" applyFont="1" applyFill="1" applyBorder="1" applyAlignment="1"/>
    <xf numFmtId="171" fontId="131" fillId="29" borderId="102" xfId="23" applyNumberFormat="1" applyFont="1" applyFill="1" applyBorder="1" applyAlignment="1"/>
    <xf numFmtId="171" fontId="131" fillId="29" borderId="103" xfId="23" applyNumberFormat="1" applyFont="1" applyFill="1" applyBorder="1" applyAlignment="1"/>
    <xf numFmtId="171" fontId="131" fillId="29" borderId="104" xfId="23" applyNumberFormat="1" applyFont="1" applyFill="1" applyBorder="1" applyAlignment="1"/>
    <xf numFmtId="171" fontId="90" fillId="0" borderId="105" xfId="23" applyNumberFormat="1" applyFont="1" applyBorder="1" applyAlignment="1"/>
    <xf numFmtId="171" fontId="0" fillId="0" borderId="105" xfId="23" applyNumberFormat="1" applyFont="1" applyBorder="1" applyAlignment="1"/>
    <xf numFmtId="171" fontId="90" fillId="0" borderId="106" xfId="23" applyNumberFormat="1" applyFont="1" applyBorder="1" applyAlignment="1"/>
    <xf numFmtId="171" fontId="0" fillId="0" borderId="106" xfId="23" applyNumberFormat="1" applyFont="1" applyBorder="1" applyAlignment="1"/>
    <xf numFmtId="171" fontId="90" fillId="24" borderId="106" xfId="23" applyNumberFormat="1" applyFont="1" applyFill="1" applyBorder="1" applyAlignment="1">
      <alignment horizontal="left" vertical="top"/>
    </xf>
    <xf numFmtId="171" fontId="0" fillId="24" borderId="106" xfId="23" applyNumberFormat="1" applyFont="1" applyFill="1" applyBorder="1" applyAlignment="1">
      <alignment horizontal="right" vertical="top"/>
    </xf>
    <xf numFmtId="171" fontId="90" fillId="35" borderId="106" xfId="23" applyNumberFormat="1" applyFont="1" applyFill="1" applyBorder="1" applyAlignment="1">
      <alignment horizontal="left" vertical="top"/>
    </xf>
    <xf numFmtId="171" fontId="0" fillId="35" borderId="106" xfId="23" applyNumberFormat="1" applyFont="1" applyFill="1" applyBorder="1" applyAlignment="1">
      <alignment horizontal="right" vertical="top"/>
    </xf>
    <xf numFmtId="0" fontId="0" fillId="0" borderId="0" xfId="0" applyNumberFormat="1" applyBorder="1"/>
    <xf numFmtId="0" fontId="0" fillId="0" borderId="0" xfId="0" applyNumberFormat="1" applyBorder="1" applyAlignment="1"/>
    <xf numFmtId="0" fontId="132" fillId="0" borderId="0" xfId="0" applyFont="1" applyAlignment="1"/>
    <xf numFmtId="0" fontId="126" fillId="0" borderId="0" xfId="0" applyFont="1" applyAlignment="1">
      <alignment horizontal="right"/>
    </xf>
    <xf numFmtId="0" fontId="126" fillId="0" borderId="0" xfId="0" applyFont="1" applyAlignment="1">
      <alignment horizontal="left" vertical="center"/>
    </xf>
    <xf numFmtId="172" fontId="126" fillId="0" borderId="0" xfId="0" applyNumberFormat="1" applyFont="1" applyAlignment="1">
      <alignment horizontal="left" vertical="center"/>
    </xf>
    <xf numFmtId="0" fontId="133" fillId="26" borderId="0" xfId="0" applyNumberFormat="1" applyFont="1" applyFill="1" applyBorder="1" applyProtection="1"/>
    <xf numFmtId="168" fontId="133" fillId="0" borderId="0" xfId="0" applyNumberFormat="1" applyFont="1" applyFill="1" applyBorder="1" applyAlignment="1">
      <alignment horizontal="center"/>
    </xf>
    <xf numFmtId="0" fontId="134" fillId="0" borderId="0" xfId="423" applyNumberFormat="1" applyFont="1" applyFill="1" applyAlignment="1">
      <alignment horizontal="center" vertical="center"/>
    </xf>
    <xf numFmtId="3" fontId="134" fillId="0" borderId="0" xfId="423" applyNumberFormat="1" applyFont="1" applyFill="1" applyAlignment="1">
      <alignment horizontal="left" vertical="center"/>
    </xf>
    <xf numFmtId="0" fontId="134" fillId="0" borderId="0" xfId="423" applyFont="1" applyFill="1" applyAlignment="1">
      <alignment horizontal="left" vertical="center"/>
    </xf>
    <xf numFmtId="3" fontId="134" fillId="0" borderId="0" xfId="423" applyNumberFormat="1" applyFont="1" applyFill="1" applyAlignment="1">
      <alignment horizontal="center" vertical="center"/>
    </xf>
    <xf numFmtId="43" fontId="134" fillId="0" borderId="0" xfId="1" applyFont="1" applyFill="1" applyBorder="1" applyAlignment="1">
      <alignment horizontal="right" vertical="center"/>
    </xf>
    <xf numFmtId="43" fontId="133" fillId="0" borderId="0" xfId="1" applyNumberFormat="1" applyFont="1" applyFill="1" applyBorder="1"/>
    <xf numFmtId="0" fontId="134" fillId="0" borderId="0" xfId="423" applyNumberFormat="1" applyFont="1" applyFill="1" applyBorder="1" applyAlignment="1">
      <alignment horizontal="center" vertical="center"/>
    </xf>
    <xf numFmtId="3" fontId="134" fillId="0" borderId="0" xfId="423" applyNumberFormat="1" applyFont="1" applyFill="1" applyBorder="1" applyAlignment="1">
      <alignment horizontal="left" vertical="center"/>
    </xf>
    <xf numFmtId="0" fontId="134" fillId="0" borderId="0" xfId="423" applyFont="1" applyFill="1" applyBorder="1" applyAlignment="1">
      <alignment horizontal="left" vertical="center"/>
    </xf>
    <xf numFmtId="3" fontId="134" fillId="0" borderId="0" xfId="423" applyNumberFormat="1" applyFont="1" applyFill="1" applyBorder="1" applyAlignment="1">
      <alignment horizontal="center" vertical="center"/>
    </xf>
    <xf numFmtId="0" fontId="135" fillId="26" borderId="0" xfId="0" applyNumberFormat="1" applyFont="1" applyFill="1" applyBorder="1" applyProtection="1"/>
    <xf numFmtId="168" fontId="135" fillId="0" borderId="0" xfId="0" applyNumberFormat="1" applyFont="1" applyFill="1" applyBorder="1" applyAlignment="1">
      <alignment horizontal="center"/>
    </xf>
    <xf numFmtId="0" fontId="136" fillId="0" borderId="0" xfId="423" applyNumberFormat="1" applyFont="1" applyFill="1" applyAlignment="1">
      <alignment horizontal="center" vertical="center"/>
    </xf>
    <xf numFmtId="3" fontId="136" fillId="0" borderId="0" xfId="423" applyNumberFormat="1" applyFont="1" applyFill="1" applyAlignment="1">
      <alignment horizontal="left" vertical="center"/>
    </xf>
    <xf numFmtId="0" fontId="136" fillId="0" borderId="0" xfId="423" applyFont="1" applyFill="1" applyAlignment="1">
      <alignment horizontal="left" vertical="center"/>
    </xf>
    <xf numFmtId="3" fontId="136" fillId="0" borderId="0" xfId="423" applyNumberFormat="1" applyFont="1" applyFill="1" applyAlignment="1">
      <alignment horizontal="center" vertical="center"/>
    </xf>
    <xf numFmtId="43" fontId="136" fillId="0" borderId="0" xfId="1" applyFont="1" applyFill="1" applyBorder="1" applyAlignment="1">
      <alignment horizontal="right" vertical="center"/>
    </xf>
    <xf numFmtId="43" fontId="135" fillId="0" borderId="0" xfId="1" applyNumberFormat="1" applyFont="1" applyFill="1" applyBorder="1"/>
    <xf numFmtId="0" fontId="136" fillId="0" borderId="0" xfId="423" applyNumberFormat="1" applyFont="1" applyFill="1" applyBorder="1" applyAlignment="1">
      <alignment horizontal="center" vertical="center"/>
    </xf>
    <xf numFmtId="3" fontId="136" fillId="0" borderId="0" xfId="423" applyNumberFormat="1" applyFont="1" applyFill="1" applyBorder="1" applyAlignment="1">
      <alignment horizontal="left" vertical="center"/>
    </xf>
    <xf numFmtId="0" fontId="136" fillId="0" borderId="0" xfId="423" applyFont="1" applyFill="1" applyBorder="1" applyAlignment="1">
      <alignment horizontal="left" vertical="center"/>
    </xf>
    <xf numFmtId="3" fontId="136" fillId="0" borderId="0" xfId="423" applyNumberFormat="1" applyFont="1" applyFill="1" applyBorder="1" applyAlignment="1">
      <alignment horizontal="center" vertical="center"/>
    </xf>
    <xf numFmtId="0" fontId="137" fillId="26" borderId="0" xfId="0" applyNumberFormat="1" applyFont="1" applyFill="1" applyBorder="1" applyProtection="1"/>
    <xf numFmtId="168" fontId="137" fillId="0" borderId="0" xfId="0" applyNumberFormat="1" applyFont="1" applyFill="1" applyBorder="1" applyAlignment="1">
      <alignment horizontal="center"/>
    </xf>
    <xf numFmtId="0" fontId="138" fillId="0" borderId="0" xfId="423" applyNumberFormat="1" applyFont="1" applyFill="1" applyAlignment="1">
      <alignment horizontal="center" vertical="center"/>
    </xf>
    <xf numFmtId="3" fontId="138" fillId="0" borderId="0" xfId="423" applyNumberFormat="1" applyFont="1" applyFill="1" applyAlignment="1">
      <alignment horizontal="left" vertical="center"/>
    </xf>
    <xf numFmtId="0" fontId="138" fillId="0" borderId="0" xfId="423" applyFont="1" applyFill="1" applyAlignment="1">
      <alignment horizontal="left" vertical="center"/>
    </xf>
    <xf numFmtId="3" fontId="138" fillId="0" borderId="0" xfId="423" applyNumberFormat="1" applyFont="1" applyFill="1" applyAlignment="1">
      <alignment horizontal="center" vertical="center"/>
    </xf>
    <xf numFmtId="43" fontId="138" fillId="0" borderId="0" xfId="1" applyFont="1" applyFill="1" applyBorder="1" applyAlignment="1">
      <alignment horizontal="right" vertical="center"/>
    </xf>
    <xf numFmtId="43" fontId="137" fillId="0" borderId="0" xfId="1" applyNumberFormat="1" applyFont="1" applyFill="1" applyBorder="1"/>
    <xf numFmtId="0" fontId="138" fillId="0" borderId="0" xfId="423" applyNumberFormat="1" applyFont="1" applyFill="1" applyBorder="1" applyAlignment="1">
      <alignment horizontal="center" vertical="center"/>
    </xf>
    <xf numFmtId="3" fontId="138" fillId="0" borderId="0" xfId="423" applyNumberFormat="1" applyFont="1" applyFill="1" applyBorder="1" applyAlignment="1">
      <alignment horizontal="left" vertical="center"/>
    </xf>
    <xf numFmtId="0" fontId="138" fillId="0" borderId="0" xfId="423" applyFont="1" applyFill="1" applyBorder="1" applyAlignment="1">
      <alignment horizontal="left" vertical="center"/>
    </xf>
    <xf numFmtId="3" fontId="138" fillId="0" borderId="0" xfId="423" applyNumberFormat="1" applyFont="1" applyFill="1" applyBorder="1" applyAlignment="1">
      <alignment horizontal="center" vertical="center"/>
    </xf>
    <xf numFmtId="0" fontId="139" fillId="26" borderId="0" xfId="0" applyNumberFormat="1" applyFont="1" applyFill="1" applyBorder="1" applyProtection="1"/>
    <xf numFmtId="168" fontId="139" fillId="0" borderId="0" xfId="0" applyNumberFormat="1" applyFont="1" applyFill="1" applyBorder="1" applyAlignment="1">
      <alignment horizontal="center"/>
    </xf>
    <xf numFmtId="0" fontId="140" fillId="0" borderId="0" xfId="423" applyNumberFormat="1" applyFont="1" applyFill="1" applyAlignment="1">
      <alignment horizontal="center" vertical="center"/>
    </xf>
    <xf numFmtId="3" fontId="140" fillId="0" borderId="0" xfId="423" applyNumberFormat="1" applyFont="1" applyFill="1" applyAlignment="1">
      <alignment horizontal="left" vertical="center"/>
    </xf>
    <xf numFmtId="0" fontId="140" fillId="0" borderId="0" xfId="423" applyFont="1" applyFill="1" applyAlignment="1">
      <alignment horizontal="left" vertical="center"/>
    </xf>
    <xf numFmtId="3" fontId="140" fillId="0" borderId="0" xfId="423" applyNumberFormat="1" applyFont="1" applyFill="1" applyAlignment="1">
      <alignment horizontal="center" vertical="center"/>
    </xf>
    <xf numFmtId="43" fontId="140" fillId="0" borderId="0" xfId="1" applyFont="1" applyFill="1" applyBorder="1" applyAlignment="1">
      <alignment horizontal="right" vertical="center"/>
    </xf>
    <xf numFmtId="43" fontId="139" fillId="0" borderId="0" xfId="1" applyNumberFormat="1" applyFont="1" applyFill="1" applyBorder="1"/>
    <xf numFmtId="0" fontId="140" fillId="0" borderId="0" xfId="423" applyNumberFormat="1" applyFont="1" applyFill="1" applyBorder="1" applyAlignment="1">
      <alignment horizontal="center" vertical="center"/>
    </xf>
    <xf numFmtId="3" fontId="140" fillId="0" borderId="0" xfId="423" applyNumberFormat="1" applyFont="1" applyFill="1" applyBorder="1" applyAlignment="1">
      <alignment horizontal="left" vertical="center"/>
    </xf>
    <xf numFmtId="0" fontId="140" fillId="0" borderId="0" xfId="423" applyFont="1" applyFill="1" applyBorder="1" applyAlignment="1">
      <alignment horizontal="left" vertical="center"/>
    </xf>
    <xf numFmtId="3" fontId="140" fillId="0" borderId="0" xfId="423" applyNumberFormat="1" applyFont="1" applyFill="1" applyBorder="1" applyAlignment="1">
      <alignment horizontal="center" vertical="center"/>
    </xf>
    <xf numFmtId="0" fontId="141" fillId="0" borderId="0" xfId="430" applyNumberFormat="1" applyFont="1" applyFill="1" applyBorder="1" applyAlignment="1">
      <alignment horizontal="center" vertical="center"/>
    </xf>
    <xf numFmtId="0" fontId="141" fillId="0" borderId="0" xfId="430" applyFont="1" applyFill="1" applyBorder="1" applyAlignment="1">
      <alignment vertical="center"/>
    </xf>
    <xf numFmtId="0" fontId="141" fillId="0" borderId="0" xfId="430" applyFont="1" applyFill="1" applyBorder="1" applyAlignment="1">
      <alignment horizontal="center" vertical="center"/>
    </xf>
    <xf numFmtId="0" fontId="3" fillId="0" borderId="0" xfId="430" applyFont="1" applyBorder="1"/>
    <xf numFmtId="0" fontId="142" fillId="26" borderId="0" xfId="0" applyNumberFormat="1" applyFont="1" applyFill="1" applyBorder="1" applyProtection="1"/>
    <xf numFmtId="168" fontId="142" fillId="0" borderId="0" xfId="0" applyNumberFormat="1" applyFont="1" applyFill="1" applyBorder="1" applyAlignment="1">
      <alignment horizontal="center"/>
    </xf>
    <xf numFmtId="0" fontId="143" fillId="0" borderId="0" xfId="423" applyNumberFormat="1" applyFont="1" applyFill="1" applyAlignment="1">
      <alignment horizontal="center" vertical="center"/>
    </xf>
    <xf numFmtId="3" fontId="143" fillId="0" borderId="0" xfId="423" applyNumberFormat="1" applyFont="1" applyFill="1" applyAlignment="1">
      <alignment horizontal="left" vertical="center"/>
    </xf>
    <xf numFmtId="0" fontId="143" fillId="0" borderId="0" xfId="423" applyFont="1" applyFill="1" applyAlignment="1">
      <alignment horizontal="left" vertical="center"/>
    </xf>
    <xf numFmtId="3" fontId="143" fillId="0" borderId="0" xfId="423" applyNumberFormat="1" applyFont="1" applyFill="1" applyAlignment="1">
      <alignment horizontal="center" vertical="center"/>
    </xf>
    <xf numFmtId="43" fontId="143" fillId="0" borderId="0" xfId="1" applyFont="1" applyFill="1" applyBorder="1" applyAlignment="1">
      <alignment horizontal="right" vertical="center"/>
    </xf>
    <xf numFmtId="43" fontId="142" fillId="0" borderId="0" xfId="1" applyNumberFormat="1" applyFont="1" applyFill="1" applyBorder="1"/>
    <xf numFmtId="0" fontId="143" fillId="0" borderId="0" xfId="423" applyNumberFormat="1" applyFont="1" applyFill="1" applyBorder="1" applyAlignment="1">
      <alignment horizontal="center" vertical="center"/>
    </xf>
    <xf numFmtId="3" fontId="143" fillId="0" borderId="0" xfId="423" applyNumberFormat="1" applyFont="1" applyFill="1" applyBorder="1" applyAlignment="1">
      <alignment horizontal="left" vertical="center"/>
    </xf>
    <xf numFmtId="0" fontId="143" fillId="0" borderId="0" xfId="423" applyFont="1" applyFill="1" applyBorder="1" applyAlignment="1">
      <alignment horizontal="left" vertical="center"/>
    </xf>
    <xf numFmtId="3" fontId="143" fillId="0" borderId="0" xfId="423" applyNumberFormat="1" applyFont="1" applyFill="1" applyBorder="1" applyAlignment="1">
      <alignment horizontal="center" vertical="center"/>
    </xf>
    <xf numFmtId="0" fontId="144" fillId="26" borderId="0" xfId="0" applyNumberFormat="1" applyFont="1" applyFill="1" applyBorder="1" applyProtection="1"/>
    <xf numFmtId="0" fontId="145" fillId="0" borderId="0" xfId="423" applyNumberFormat="1" applyFont="1" applyFill="1" applyAlignment="1">
      <alignment horizontal="center" vertical="center"/>
    </xf>
    <xf numFmtId="3" fontId="145" fillId="0" borderId="0" xfId="423" applyNumberFormat="1" applyFont="1" applyFill="1" applyAlignment="1">
      <alignment horizontal="left" vertical="center"/>
    </xf>
    <xf numFmtId="0" fontId="145" fillId="0" borderId="0" xfId="423" applyFont="1" applyFill="1" applyAlignment="1">
      <alignment horizontal="left" vertical="center"/>
    </xf>
    <xf numFmtId="3" fontId="145" fillId="0" borderId="0" xfId="423" applyNumberFormat="1" applyFont="1" applyFill="1" applyAlignment="1">
      <alignment horizontal="center" vertical="center"/>
    </xf>
    <xf numFmtId="43" fontId="145" fillId="0" borderId="0" xfId="1" applyFont="1" applyFill="1" applyBorder="1" applyAlignment="1">
      <alignment horizontal="right" vertical="center"/>
    </xf>
    <xf numFmtId="43" fontId="144" fillId="0" borderId="0" xfId="1" applyNumberFormat="1" applyFont="1" applyFill="1" applyBorder="1"/>
    <xf numFmtId="0" fontId="145" fillId="0" borderId="0" xfId="423" applyNumberFormat="1" applyFont="1" applyFill="1" applyBorder="1" applyAlignment="1">
      <alignment horizontal="center" vertical="center"/>
    </xf>
    <xf numFmtId="3" fontId="145" fillId="0" borderId="0" xfId="423" applyNumberFormat="1" applyFont="1" applyFill="1" applyBorder="1" applyAlignment="1">
      <alignment horizontal="left" vertical="center"/>
    </xf>
    <xf numFmtId="0" fontId="145" fillId="0" borderId="0" xfId="423" applyFont="1" applyFill="1" applyBorder="1" applyAlignment="1">
      <alignment horizontal="left" vertical="center"/>
    </xf>
    <xf numFmtId="3" fontId="145" fillId="0" borderId="0" xfId="423" applyNumberFormat="1" applyFont="1" applyFill="1" applyBorder="1" applyAlignment="1">
      <alignment horizontal="center" vertical="center"/>
    </xf>
    <xf numFmtId="168" fontId="144" fillId="0" borderId="0" xfId="0" applyNumberFormat="1" applyFont="1" applyFill="1" applyBorder="1" applyAlignment="1">
      <alignment horizontal="center"/>
    </xf>
    <xf numFmtId="43" fontId="92" fillId="0" borderId="0" xfId="1" applyFont="1" applyFill="1" applyBorder="1" applyAlignment="1" applyProtection="1">
      <alignment horizontal="right" vertical="center"/>
    </xf>
    <xf numFmtId="0" fontId="146" fillId="26" borderId="0" xfId="0" applyNumberFormat="1" applyFont="1" applyFill="1" applyBorder="1" applyProtection="1"/>
    <xf numFmtId="0" fontId="147" fillId="0" borderId="0" xfId="423" applyNumberFormat="1" applyFont="1" applyFill="1" applyAlignment="1">
      <alignment horizontal="center" vertical="center"/>
    </xf>
    <xf numFmtId="3" fontId="147" fillId="0" borderId="0" xfId="423" applyNumberFormat="1" applyFont="1" applyFill="1" applyAlignment="1">
      <alignment horizontal="left" vertical="center"/>
    </xf>
    <xf numFmtId="0" fontId="147" fillId="0" borderId="0" xfId="423" applyFont="1" applyFill="1" applyAlignment="1">
      <alignment horizontal="left" vertical="center"/>
    </xf>
    <xf numFmtId="3" fontId="147" fillId="0" borderId="0" xfId="423" applyNumberFormat="1" applyFont="1" applyFill="1" applyAlignment="1">
      <alignment horizontal="center" vertical="center"/>
    </xf>
    <xf numFmtId="43" fontId="147" fillId="0" borderId="0" xfId="1" applyFont="1" applyFill="1" applyBorder="1" applyAlignment="1">
      <alignment horizontal="right" vertical="center"/>
    </xf>
    <xf numFmtId="43" fontId="146" fillId="0" borderId="0" xfId="1" applyNumberFormat="1" applyFont="1" applyFill="1" applyBorder="1"/>
    <xf numFmtId="3" fontId="147" fillId="0" borderId="0" xfId="423" applyNumberFormat="1" applyFont="1" applyFill="1" applyBorder="1" applyAlignment="1">
      <alignment horizontal="left" vertical="center"/>
    </xf>
    <xf numFmtId="0" fontId="147" fillId="0" borderId="0" xfId="423" applyFont="1" applyFill="1" applyBorder="1" applyAlignment="1">
      <alignment horizontal="left" vertical="center"/>
    </xf>
    <xf numFmtId="3" fontId="147" fillId="0" borderId="0" xfId="423" applyNumberFormat="1" applyFont="1" applyFill="1" applyBorder="1" applyAlignment="1">
      <alignment horizontal="center" vertical="center"/>
    </xf>
    <xf numFmtId="0" fontId="147" fillId="0" borderId="0" xfId="423" applyNumberFormat="1" applyFont="1" applyFill="1" applyBorder="1" applyAlignment="1">
      <alignment horizontal="center" vertical="center"/>
    </xf>
    <xf numFmtId="0" fontId="1" fillId="0" borderId="0" xfId="430" applyNumberFormat="1" applyFont="1" applyFill="1" applyBorder="1" applyAlignment="1">
      <alignment vertical="center"/>
    </xf>
    <xf numFmtId="0" fontId="148" fillId="0" borderId="16" xfId="0" applyFont="1" applyBorder="1" applyAlignment="1">
      <alignment horizontal="center" vertical="center"/>
    </xf>
    <xf numFmtId="0" fontId="148" fillId="0" borderId="15" xfId="0" applyFont="1" applyBorder="1" applyAlignment="1">
      <alignment horizontal="center" vertical="center"/>
    </xf>
    <xf numFmtId="43" fontId="148" fillId="29" borderId="15" xfId="0" applyNumberFormat="1" applyFont="1" applyFill="1" applyBorder="1" applyAlignment="1">
      <alignment horizontal="right" vertical="center"/>
    </xf>
    <xf numFmtId="43" fontId="148" fillId="0" borderId="15" xfId="0" applyNumberFormat="1" applyFont="1" applyBorder="1" applyAlignment="1">
      <alignment horizontal="right" vertical="center"/>
    </xf>
    <xf numFmtId="43" fontId="148" fillId="0" borderId="15" xfId="0" applyNumberFormat="1" applyFont="1" applyBorder="1" applyAlignment="1" applyProtection="1">
      <alignment horizontal="right" vertical="center"/>
      <protection locked="0"/>
    </xf>
    <xf numFmtId="0" fontId="148" fillId="0" borderId="11" xfId="0" applyNumberFormat="1" applyFont="1" applyBorder="1" applyAlignment="1" applyProtection="1">
      <alignment horizontal="center" vertical="center"/>
      <protection locked="0"/>
    </xf>
    <xf numFmtId="0" fontId="147" fillId="0" borderId="0" xfId="423" quotePrefix="1" applyNumberFormat="1" applyFont="1" applyFill="1" applyBorder="1" applyAlignment="1">
      <alignment horizontal="center" vertical="center"/>
    </xf>
    <xf numFmtId="43" fontId="0" fillId="0" borderId="52" xfId="1" quotePrefix="1" applyFont="1" applyBorder="1" applyAlignment="1" applyProtection="1">
      <alignment horizontal="right" vertical="center"/>
      <protection locked="0"/>
    </xf>
    <xf numFmtId="167" fontId="149" fillId="0" borderId="0" xfId="0" applyNumberFormat="1" applyFont="1" applyFill="1" applyBorder="1" applyAlignment="1">
      <alignment horizontal="center" vertical="center"/>
    </xf>
    <xf numFmtId="43" fontId="149" fillId="0" borderId="0" xfId="1" applyNumberFormat="1" applyFont="1" applyFill="1" applyBorder="1" applyAlignment="1">
      <alignment horizontal="right" vertical="center"/>
    </xf>
    <xf numFmtId="0" fontId="149" fillId="0" borderId="0" xfId="0" applyFont="1" applyFill="1" applyBorder="1" applyAlignment="1">
      <alignment horizontal="center" vertical="center"/>
    </xf>
    <xf numFmtId="43" fontId="89" fillId="0" borderId="0" xfId="0" applyNumberFormat="1" applyFont="1" applyFill="1" applyBorder="1"/>
    <xf numFmtId="0" fontId="150" fillId="3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89" fillId="0" borderId="0" xfId="0" applyFont="1" applyFill="1" applyBorder="1"/>
    <xf numFmtId="0" fontId="89" fillId="25" borderId="57" xfId="0" applyFont="1" applyFill="1" applyBorder="1" applyAlignment="1">
      <alignment horizontal="center" vertical="center"/>
    </xf>
    <xf numFmtId="0" fontId="89" fillId="25" borderId="59" xfId="0" applyFont="1" applyFill="1" applyBorder="1" applyAlignment="1">
      <alignment horizontal="center" vertical="center"/>
    </xf>
    <xf numFmtId="0" fontId="89" fillId="25" borderId="77" xfId="0" applyFont="1" applyFill="1" applyBorder="1" applyAlignment="1">
      <alignment horizontal="center" vertical="center"/>
    </xf>
    <xf numFmtId="0" fontId="89" fillId="25" borderId="56" xfId="0" applyFont="1" applyFill="1" applyBorder="1" applyAlignment="1">
      <alignment horizontal="center" vertical="center" wrapText="1"/>
    </xf>
    <xf numFmtId="0" fontId="89" fillId="25" borderId="10" xfId="0" applyFont="1" applyFill="1" applyBorder="1" applyAlignment="1">
      <alignment horizontal="center" vertical="center" wrapText="1"/>
    </xf>
    <xf numFmtId="0" fontId="89" fillId="25" borderId="76" xfId="0" applyFont="1" applyFill="1" applyBorder="1" applyAlignment="1">
      <alignment horizontal="center" vertical="center" wrapText="1"/>
    </xf>
    <xf numFmtId="0" fontId="89" fillId="29" borderId="85" xfId="0" applyFont="1" applyFill="1" applyBorder="1" applyAlignment="1">
      <alignment horizontal="center" vertical="center"/>
    </xf>
    <xf numFmtId="0" fontId="89" fillId="29" borderId="86" xfId="0" applyFont="1" applyFill="1" applyBorder="1" applyAlignment="1">
      <alignment horizontal="center" vertical="center"/>
    </xf>
    <xf numFmtId="0" fontId="89" fillId="25" borderId="55" xfId="0" applyFont="1" applyFill="1" applyBorder="1" applyAlignment="1">
      <alignment horizontal="center" vertical="center"/>
    </xf>
    <xf numFmtId="0" fontId="89" fillId="25" borderId="58" xfId="0" applyFont="1" applyFill="1" applyBorder="1" applyAlignment="1">
      <alignment horizontal="center" vertical="center"/>
    </xf>
    <xf numFmtId="0" fontId="89" fillId="25" borderId="75" xfId="0" applyFont="1" applyFill="1" applyBorder="1" applyAlignment="1">
      <alignment horizontal="center" vertical="center"/>
    </xf>
    <xf numFmtId="0" fontId="89" fillId="25" borderId="56" xfId="0" applyFont="1" applyFill="1" applyBorder="1" applyAlignment="1">
      <alignment horizontal="center" vertical="center"/>
    </xf>
    <xf numFmtId="0" fontId="89" fillId="25" borderId="10" xfId="0" applyFont="1" applyFill="1" applyBorder="1" applyAlignment="1">
      <alignment horizontal="center" vertical="center"/>
    </xf>
    <xf numFmtId="0" fontId="89" fillId="25" borderId="76" xfId="0" applyFont="1" applyFill="1" applyBorder="1" applyAlignment="1">
      <alignment horizontal="center" vertical="center"/>
    </xf>
    <xf numFmtId="0" fontId="89" fillId="25" borderId="64" xfId="0" applyFont="1" applyFill="1" applyBorder="1" applyAlignment="1">
      <alignment horizontal="center" vertical="center"/>
    </xf>
    <xf numFmtId="0" fontId="89" fillId="25" borderId="72" xfId="0" applyFont="1" applyFill="1" applyBorder="1" applyAlignment="1">
      <alignment horizontal="center" vertical="center"/>
    </xf>
    <xf numFmtId="0" fontId="89" fillId="25" borderId="6" xfId="0" applyFont="1" applyFill="1" applyBorder="1" applyAlignment="1">
      <alignment horizontal="center" vertical="center"/>
    </xf>
    <xf numFmtId="0" fontId="89" fillId="25" borderId="7" xfId="0" applyFont="1" applyFill="1" applyBorder="1" applyAlignment="1">
      <alignment horizontal="center" vertical="center"/>
    </xf>
    <xf numFmtId="0" fontId="89" fillId="25" borderId="63" xfId="0" applyFont="1" applyFill="1" applyBorder="1" applyAlignment="1">
      <alignment horizontal="center" vertical="center"/>
    </xf>
    <xf numFmtId="0" fontId="89" fillId="25" borderId="70" xfId="0" applyFont="1" applyFill="1" applyBorder="1" applyAlignment="1">
      <alignment horizontal="center" vertical="center"/>
    </xf>
    <xf numFmtId="0" fontId="89" fillId="25" borderId="7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8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9" xfId="0" applyFont="1" applyFill="1" applyBorder="1" applyAlignment="1">
      <alignment horizontal="center" vertical="center"/>
    </xf>
    <xf numFmtId="0" fontId="79" fillId="0" borderId="4" xfId="0" applyFont="1" applyFill="1" applyBorder="1" applyAlignment="1">
      <alignment horizontal="center" vertical="center"/>
    </xf>
    <xf numFmtId="0" fontId="79" fillId="0" borderId="9" xfId="0" applyFont="1" applyFill="1" applyBorder="1" applyAlignment="1">
      <alignment horizontal="center" vertical="center"/>
    </xf>
    <xf numFmtId="0" fontId="79" fillId="0" borderId="5" xfId="0" applyFont="1" applyFill="1" applyBorder="1" applyAlignment="1">
      <alignment horizontal="center" vertical="center"/>
    </xf>
    <xf numFmtId="43" fontId="79" fillId="0" borderId="4" xfId="1" applyFont="1" applyFill="1" applyBorder="1" applyAlignment="1">
      <alignment horizontal="right" vertical="center"/>
    </xf>
    <xf numFmtId="43" fontId="79" fillId="0" borderId="5" xfId="1" applyFont="1" applyFill="1" applyBorder="1" applyAlignment="1">
      <alignment horizontal="right" vertical="center"/>
    </xf>
    <xf numFmtId="0" fontId="22" fillId="0" borderId="4" xfId="0" applyFont="1" applyFill="1" applyBorder="1" applyAlignment="1">
      <alignment horizontal="center" vertical="center"/>
    </xf>
    <xf numFmtId="0" fontId="22" fillId="0" borderId="9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169" fontId="85" fillId="0" borderId="8" xfId="0" applyNumberFormat="1" applyFont="1" applyFill="1" applyBorder="1" applyAlignment="1">
      <alignment horizontal="left" vertical="center"/>
    </xf>
    <xf numFmtId="169" fontId="85" fillId="0" borderId="7" xfId="0" applyNumberFormat="1" applyFont="1" applyFill="1" applyBorder="1" applyAlignment="1">
      <alignment horizontal="left" vertical="center"/>
    </xf>
    <xf numFmtId="43" fontId="85" fillId="0" borderId="4" xfId="1" applyFont="1" applyFill="1" applyBorder="1" applyAlignment="1">
      <alignment horizontal="center" vertical="center"/>
    </xf>
    <xf numFmtId="43" fontId="85" fillId="0" borderId="9" xfId="1" applyFont="1" applyFill="1" applyBorder="1" applyAlignment="1">
      <alignment horizontal="center" vertical="center"/>
    </xf>
    <xf numFmtId="43" fontId="85" fillId="0" borderId="5" xfId="1" applyFont="1" applyFill="1" applyBorder="1" applyAlignment="1">
      <alignment horizontal="center" vertical="center"/>
    </xf>
    <xf numFmtId="0" fontId="85" fillId="0" borderId="4" xfId="0" applyFont="1" applyFill="1" applyBorder="1" applyAlignment="1">
      <alignment horizontal="center" vertical="center"/>
    </xf>
    <xf numFmtId="0" fontId="85" fillId="0" borderId="9" xfId="0" applyFont="1" applyFill="1" applyBorder="1" applyAlignment="1">
      <alignment horizontal="center" vertical="center"/>
    </xf>
    <xf numFmtId="0" fontId="85" fillId="0" borderId="5" xfId="0" applyFont="1" applyFill="1" applyBorder="1" applyAlignment="1">
      <alignment horizontal="center" vertical="center"/>
    </xf>
    <xf numFmtId="172" fontId="19" fillId="0" borderId="76" xfId="0" applyNumberFormat="1" applyFont="1" applyFill="1" applyBorder="1" applyAlignment="1">
      <alignment horizontal="center" vertical="center" wrapText="1"/>
    </xf>
    <xf numFmtId="172" fontId="19" fillId="0" borderId="23" xfId="0" applyNumberFormat="1" applyFont="1" applyFill="1" applyBorder="1" applyAlignment="1">
      <alignment horizontal="center" vertical="center" wrapText="1"/>
    </xf>
    <xf numFmtId="0" fontId="0" fillId="0" borderId="76" xfId="0" applyBorder="1" applyAlignment="1">
      <alignment horizontal="center" vertical="top" wrapText="1"/>
    </xf>
    <xf numFmtId="0" fontId="0" fillId="0" borderId="23" xfId="0" applyBorder="1" applyAlignment="1">
      <alignment horizontal="center" vertical="top" wrapText="1"/>
    </xf>
    <xf numFmtId="3" fontId="109" fillId="20" borderId="89" xfId="423" applyNumberFormat="1" applyFont="1" applyFill="1" applyBorder="1" applyAlignment="1">
      <alignment horizontal="left" vertical="center" wrapText="1"/>
    </xf>
    <xf numFmtId="3" fontId="109" fillId="20" borderId="90" xfId="423" applyNumberFormat="1" applyFont="1" applyFill="1" applyBorder="1" applyAlignment="1">
      <alignment horizontal="left" vertical="center" wrapText="1"/>
    </xf>
    <xf numFmtId="3" fontId="109" fillId="21" borderId="82" xfId="423" applyNumberFormat="1" applyFont="1" applyFill="1" applyBorder="1" applyAlignment="1">
      <alignment horizontal="left" vertical="center" wrapText="1"/>
    </xf>
    <xf numFmtId="3" fontId="109" fillId="21" borderId="84" xfId="423" applyNumberFormat="1" applyFont="1" applyFill="1" applyBorder="1" applyAlignment="1">
      <alignment horizontal="left" vertical="center" wrapText="1"/>
    </xf>
    <xf numFmtId="2" fontId="69" fillId="23" borderId="4" xfId="423" applyNumberFormat="1" applyFont="1" applyFill="1" applyBorder="1" applyAlignment="1">
      <alignment horizontal="center" vertical="center"/>
    </xf>
    <xf numFmtId="2" fontId="69" fillId="23" borderId="5" xfId="423" applyNumberFormat="1" applyFont="1" applyFill="1" applyBorder="1" applyAlignment="1">
      <alignment horizontal="center" vertical="center"/>
    </xf>
    <xf numFmtId="1" fontId="69" fillId="29" borderId="82" xfId="423" applyNumberFormat="1" applyFont="1" applyFill="1" applyBorder="1" applyAlignment="1">
      <alignment horizontal="center" vertical="center" wrapText="1"/>
    </xf>
    <xf numFmtId="1" fontId="69" fillId="29" borderId="84" xfId="423" applyNumberFormat="1" applyFont="1" applyFill="1" applyBorder="1" applyAlignment="1">
      <alignment horizontal="center" vertical="center" wrapText="1"/>
    </xf>
    <xf numFmtId="0" fontId="69" fillId="18" borderId="4" xfId="425" applyFont="1" applyFill="1" applyBorder="1" applyAlignment="1">
      <alignment horizontal="center" vertical="center"/>
    </xf>
    <xf numFmtId="0" fontId="69" fillId="18" borderId="9" xfId="425" applyFont="1" applyFill="1" applyBorder="1" applyAlignment="1">
      <alignment horizontal="center" vertical="center"/>
    </xf>
    <xf numFmtId="0" fontId="69" fillId="18" borderId="5" xfId="425" applyFont="1" applyFill="1" applyBorder="1" applyAlignment="1">
      <alignment horizontal="center" vertical="center"/>
    </xf>
    <xf numFmtId="0" fontId="69" fillId="19" borderId="4" xfId="425" applyFont="1" applyFill="1" applyBorder="1" applyAlignment="1">
      <alignment horizontal="center" vertical="center"/>
    </xf>
    <xf numFmtId="0" fontId="69" fillId="19" borderId="9" xfId="425" applyFont="1" applyFill="1" applyBorder="1" applyAlignment="1">
      <alignment horizontal="center" vertical="center"/>
    </xf>
    <xf numFmtId="0" fontId="69" fillId="19" borderId="5" xfId="425" applyFont="1" applyFill="1" applyBorder="1" applyAlignment="1">
      <alignment horizontal="center" vertical="center"/>
    </xf>
    <xf numFmtId="0" fontId="69" fillId="22" borderId="4" xfId="425" applyFont="1" applyFill="1" applyBorder="1" applyAlignment="1">
      <alignment horizontal="center" vertical="center"/>
    </xf>
    <xf numFmtId="0" fontId="69" fillId="22" borderId="9" xfId="425" applyFont="1" applyFill="1" applyBorder="1" applyAlignment="1">
      <alignment horizontal="center" vertical="center"/>
    </xf>
    <xf numFmtId="0" fontId="69" fillId="22" borderId="5" xfId="425" applyFont="1" applyFill="1" applyBorder="1" applyAlignment="1">
      <alignment horizontal="center" vertical="center"/>
    </xf>
    <xf numFmtId="0" fontId="69" fillId="29" borderId="4" xfId="423" applyFont="1" applyFill="1" applyBorder="1" applyAlignment="1">
      <alignment horizontal="center" vertical="center"/>
    </xf>
    <xf numFmtId="0" fontId="69" fillId="29" borderId="5" xfId="423" applyFont="1" applyFill="1" applyBorder="1" applyAlignment="1">
      <alignment horizontal="center" vertical="center"/>
    </xf>
    <xf numFmtId="43" fontId="119" fillId="0" borderId="4" xfId="1" applyFont="1" applyFill="1" applyBorder="1" applyAlignment="1">
      <alignment horizontal="center" vertical="center"/>
    </xf>
    <xf numFmtId="43" fontId="119" fillId="0" borderId="9" xfId="1" applyFont="1" applyFill="1" applyBorder="1" applyAlignment="1">
      <alignment horizontal="center" vertical="center"/>
    </xf>
    <xf numFmtId="43" fontId="119" fillId="0" borderId="5" xfId="1" applyFont="1" applyFill="1" applyBorder="1" applyAlignment="1">
      <alignment horizontal="center" vertical="center"/>
    </xf>
    <xf numFmtId="43" fontId="124" fillId="0" borderId="82" xfId="1" applyFont="1" applyFill="1" applyBorder="1" applyAlignment="1">
      <alignment horizontal="center" vertical="center"/>
    </xf>
    <xf numFmtId="43" fontId="124" fillId="0" borderId="83" xfId="1" applyFont="1" applyFill="1" applyBorder="1" applyAlignment="1">
      <alignment horizontal="center" vertical="center"/>
    </xf>
    <xf numFmtId="43" fontId="124" fillId="0" borderId="84" xfId="1" applyFont="1" applyFill="1" applyBorder="1" applyAlignment="1">
      <alignment horizontal="center" vertical="center"/>
    </xf>
    <xf numFmtId="174" fontId="123" fillId="0" borderId="82" xfId="0" applyNumberFormat="1" applyFont="1" applyFill="1" applyBorder="1" applyAlignment="1">
      <alignment horizontal="center" vertical="center"/>
    </xf>
    <xf numFmtId="174" fontId="123" fillId="0" borderId="84" xfId="0" applyNumberFormat="1" applyFont="1" applyFill="1" applyBorder="1" applyAlignment="1">
      <alignment horizontal="center" vertical="center"/>
    </xf>
    <xf numFmtId="0" fontId="89" fillId="25" borderId="11" xfId="0" applyFont="1" applyFill="1" applyBorder="1" applyAlignment="1">
      <alignment horizontal="center" vertical="center"/>
    </xf>
    <xf numFmtId="0" fontId="89" fillId="25" borderId="16" xfId="0" applyFont="1" applyFill="1" applyBorder="1" applyAlignment="1">
      <alignment horizontal="center" vertical="center"/>
    </xf>
    <xf numFmtId="167" fontId="123" fillId="0" borderId="82" xfId="0" applyNumberFormat="1" applyFont="1" applyFill="1" applyBorder="1" applyAlignment="1">
      <alignment horizontal="center" vertical="center"/>
    </xf>
    <xf numFmtId="167" fontId="123" fillId="0" borderId="84" xfId="0" applyNumberFormat="1" applyFont="1" applyFill="1" applyBorder="1" applyAlignment="1">
      <alignment horizontal="center" vertical="center"/>
    </xf>
    <xf numFmtId="0" fontId="130" fillId="32" borderId="107" xfId="23" applyNumberFormat="1" applyFont="1" applyFill="1" applyBorder="1" applyAlignment="1">
      <alignment horizontal="center" vertical="center" wrapText="1"/>
    </xf>
  </cellXfs>
  <cellStyles count="439">
    <cellStyle name="," xfId="3"/>
    <cellStyle name=", 2" xfId="59"/>
    <cellStyle name=", 3" xfId="60"/>
    <cellStyle name=", 4" xfId="61"/>
    <cellStyle name=", 5" xfId="62"/>
    <cellStyle name=", 6" xfId="63"/>
    <cellStyle name=", 7" xfId="64"/>
    <cellStyle name=", 8" xfId="65"/>
    <cellStyle name=", 9" xfId="66"/>
    <cellStyle name=",_ BYR " xfId="67"/>
    <cellStyle name=",_05 AGUSTUS  2011" xfId="68"/>
    <cellStyle name=",_1" xfId="69"/>
    <cellStyle name=",_ABRI TAUPAN" xfId="70"/>
    <cellStyle name=",_BAHAN BAKU (09 JULI 2012)" xfId="71"/>
    <cellStyle name=",_Copy of TIMBANGAN2" xfId="72"/>
    <cellStyle name=",_ISK (13 JUNI 2012)" xfId="73"/>
    <cellStyle name=",_ISK (14 JULI 2012)" xfId="74"/>
    <cellStyle name=",_KOPRA  JULI  2012" xfId="75"/>
    <cellStyle name=",_KOPRA  JULI  2012_1" xfId="76"/>
    <cellStyle name=",_KOPRA  JULI  2012_1_KOPRA  OKTOBER  2012" xfId="77"/>
    <cellStyle name=",_KOPRA  JULI  2012_1_KOPRA FEBRUARI  2013" xfId="78"/>
    <cellStyle name=",_KOPRA  JUNI  2012" xfId="79"/>
    <cellStyle name=",_KOPRA  JUNI  2012_1" xfId="80"/>
    <cellStyle name=",_KOPRA  JUNI  2012_1 2" xfId="81"/>
    <cellStyle name=",_KOPRA  JUNI  2012_1 3" xfId="82"/>
    <cellStyle name=",_KOPRA  JUNI  2012_1 4" xfId="83"/>
    <cellStyle name=",_KOPRA  JUNI  2012_1 5" xfId="84"/>
    <cellStyle name=",_KOPRA  JUNI  2012_1 6" xfId="85"/>
    <cellStyle name=",_KOPRA  JUNI  2012_1 7" xfId="86"/>
    <cellStyle name=",_KOPRA  JUNI  2012_1 8" xfId="87"/>
    <cellStyle name=",_KOPRA  JUNI  2012_1 9" xfId="88"/>
    <cellStyle name=",_KOPRA  JUNI  2012_1_ BYR " xfId="89"/>
    <cellStyle name=",_KOPRA  JUNI  2012_1_1" xfId="90"/>
    <cellStyle name=",_KOPRA  JUNI  2012_1_ABRI TAUPAN" xfId="91"/>
    <cellStyle name=",_KOPRA  JUNI  2012_1_Copy of TIMBANGAN2" xfId="92"/>
    <cellStyle name=",_KOPRA  JUNI  2012_1_KOPRA  JULI  2012" xfId="93"/>
    <cellStyle name=",_KOPRA  JUNI  2012_1_KOPRA  JULI  2012_1" xfId="94"/>
    <cellStyle name=",_KOPRA  JUNI  2012_1_KOPRA  JULI  2012_1_KOPRA  OKTOBER  2012" xfId="95"/>
    <cellStyle name=",_KOPRA  JUNI  2012_1_KOPRA  JULI  2012_1_KOPRA FEBRUARI  2013" xfId="96"/>
    <cellStyle name=",_KOPRA  JUNI  2012_1_KOPRA  OKTOBER  2012" xfId="97"/>
    <cellStyle name=",_KOPRA  JUNI  2012_1_KOPRA  OKTOBER  2012_KOPRA FEBRUARI  2013" xfId="98"/>
    <cellStyle name=",_KOPRA  JUNI  2012_1_KOPRA FEBRUARI  2013" xfId="99"/>
    <cellStyle name=",_KOPRA  JUNI  2012_1_PT ISK TGL 28  JUNI 2012" xfId="100"/>
    <cellStyle name=",_KOPRA  JUNI  2012_1_TIMBANGAN2" xfId="101"/>
    <cellStyle name=",_KOPRA  JUNI  2012_BAHAN BAKU (09 JULI 2012)" xfId="102"/>
    <cellStyle name=",_KOPRA  JUNI  2012_KOPRA  JUNI  2012" xfId="103"/>
    <cellStyle name=",_KOPRA  OKTOBER  2012" xfId="104"/>
    <cellStyle name=",_KOPRA  OKTOBER  2012_KOPRA FEBRUARI  2013" xfId="105"/>
    <cellStyle name=",_KOPRA FEBRUARI  2013" xfId="106"/>
    <cellStyle name=",_PT ISK TGL 28  JUNI 2012" xfId="107"/>
    <cellStyle name=",_PT.ISK TGL 27  JUNI 2012" xfId="108"/>
    <cellStyle name=",_PT.ISK TGL 28  JUNI 2012" xfId="109"/>
    <cellStyle name=",_TIMBANGAN2" xfId="110"/>
    <cellStyle name=",_Upah Bongkar  TBS ~ MARET 2011" xfId="111"/>
    <cellStyle name=",_Upah Bongkar  TBS ~ MARET 2011 2" xfId="112"/>
    <cellStyle name=",_Upah Bongkar  TBS ~ MARET 2011 3" xfId="113"/>
    <cellStyle name=",_Upah Bongkar  TBS ~ MARET 2011 4" xfId="114"/>
    <cellStyle name=",_Upah Bongkar  TBS ~ MARET 2011 5" xfId="115"/>
    <cellStyle name=",_Upah Bongkar  TBS ~ MARET 2011 6" xfId="116"/>
    <cellStyle name=",_Upah Bongkar  TBS ~ MARET 2011 7" xfId="117"/>
    <cellStyle name=",_Upah Bongkar  TBS ~ MARET 2011 8" xfId="118"/>
    <cellStyle name=",_Upah Bongkar  TBS ~ MARET 2011 9" xfId="119"/>
    <cellStyle name=",_Upah Bongkar  TBS ~ MARET 2011_ BYR " xfId="120"/>
    <cellStyle name=",_Upah Bongkar  TBS ~ MARET 2011_1" xfId="121"/>
    <cellStyle name=",_Upah Bongkar  TBS ~ MARET 2011_ABRI TAUPAN" xfId="122"/>
    <cellStyle name=",_Upah Bongkar  TBS ~ MARET 2011_Copy of TIMBANGAN2" xfId="123"/>
    <cellStyle name=",_Upah Bongkar  TBS ~ MARET 2011_KOPRA  JULI  2012" xfId="124"/>
    <cellStyle name=",_Upah Bongkar  TBS ~ MARET 2011_KOPRA  JULI  2012_1" xfId="125"/>
    <cellStyle name=",_Upah Bongkar  TBS ~ MARET 2011_KOPRA  JULI  2012_1_KOPRA  OKTOBER  2012" xfId="126"/>
    <cellStyle name=",_Upah Bongkar  TBS ~ MARET 2011_KOPRA  JULI  2012_1_KOPRA FEBRUARI  2013" xfId="127"/>
    <cellStyle name=",_Upah Bongkar  TBS ~ MARET 2011_KOPRA  JUNI  2012" xfId="128"/>
    <cellStyle name=",_Upah Bongkar  TBS ~ MARET 2011_KOPRA  JUNI  2012_1" xfId="129"/>
    <cellStyle name=",_Upah Bongkar  TBS ~ MARET 2011_KOPRA  JUNI  2012_1 2" xfId="130"/>
    <cellStyle name=",_Upah Bongkar  TBS ~ MARET 2011_KOPRA  JUNI  2012_1 3" xfId="131"/>
    <cellStyle name=",_Upah Bongkar  TBS ~ MARET 2011_KOPRA  JUNI  2012_1 4" xfId="132"/>
    <cellStyle name=",_Upah Bongkar  TBS ~ MARET 2011_KOPRA  JUNI  2012_1 5" xfId="133"/>
    <cellStyle name=",_Upah Bongkar  TBS ~ MARET 2011_KOPRA  JUNI  2012_1 6" xfId="134"/>
    <cellStyle name=",_Upah Bongkar  TBS ~ MARET 2011_KOPRA  JUNI  2012_1 7" xfId="135"/>
    <cellStyle name=",_Upah Bongkar  TBS ~ MARET 2011_KOPRA  JUNI  2012_1 8" xfId="136"/>
    <cellStyle name=",_Upah Bongkar  TBS ~ MARET 2011_KOPRA  JUNI  2012_1 9" xfId="137"/>
    <cellStyle name=",_Upah Bongkar  TBS ~ MARET 2011_KOPRA  JUNI  2012_1_ BYR " xfId="138"/>
    <cellStyle name=",_Upah Bongkar  TBS ~ MARET 2011_KOPRA  JUNI  2012_1_1" xfId="139"/>
    <cellStyle name=",_Upah Bongkar  TBS ~ MARET 2011_KOPRA  JUNI  2012_1_ABRI TAUPAN" xfId="140"/>
    <cellStyle name=",_Upah Bongkar  TBS ~ MARET 2011_KOPRA  JUNI  2012_1_Copy of TIMBANGAN2" xfId="141"/>
    <cellStyle name=",_Upah Bongkar  TBS ~ MARET 2011_KOPRA  JUNI  2012_1_KOPRA  JULI  2012" xfId="142"/>
    <cellStyle name=",_Upah Bongkar  TBS ~ MARET 2011_KOPRA  JUNI  2012_1_KOPRA  JULI  2012_1" xfId="143"/>
    <cellStyle name=",_Upah Bongkar  TBS ~ MARET 2011_KOPRA  JUNI  2012_1_KOPRA  JULI  2012_1_KOPRA  OKTOBER  2012" xfId="144"/>
    <cellStyle name=",_Upah Bongkar  TBS ~ MARET 2011_KOPRA  JUNI  2012_1_KOPRA  JULI  2012_1_KOPRA FEBRUARI  2013" xfId="145"/>
    <cellStyle name=",_Upah Bongkar  TBS ~ MARET 2011_KOPRA  JUNI  2012_1_KOPRA  OKTOBER  2012" xfId="146"/>
    <cellStyle name=",_Upah Bongkar  TBS ~ MARET 2011_KOPRA  JUNI  2012_1_KOPRA  OKTOBER  2012_KOPRA FEBRUARI  2013" xfId="147"/>
    <cellStyle name=",_Upah Bongkar  TBS ~ MARET 2011_KOPRA  JUNI  2012_1_KOPRA FEBRUARI  2013" xfId="148"/>
    <cellStyle name=",_Upah Bongkar  TBS ~ MARET 2011_KOPRA  JUNI  2012_1_PT ISK TGL 28  JUNI 2012" xfId="149"/>
    <cellStyle name=",_Upah Bongkar  TBS ~ MARET 2011_KOPRA  JUNI  2012_1_TIMBANGAN2" xfId="150"/>
    <cellStyle name=",_Upah Bongkar  TBS ~ MARET 2011_KOPRA  JUNI  2012_BAHAN BAKU (09 JULI 2012)" xfId="151"/>
    <cellStyle name=",_Upah Bongkar  TBS ~ MARET 2011_KOPRA  JUNI  2012_KOPRA  JUNI  2012" xfId="152"/>
    <cellStyle name=",_Upah Bongkar  TBS ~ MARET 2011_KOPRA  OKTOBER  2012" xfId="153"/>
    <cellStyle name=",_Upah Bongkar  TBS ~ MARET 2011_KOPRA  OKTOBER  2012_KOPRA FEBRUARI  2013" xfId="154"/>
    <cellStyle name=",_Upah Bongkar  TBS ~ MARET 2011_KOPRA FEBRUARI  2013" xfId="155"/>
    <cellStyle name=",_Upah Bongkar  TBS ~ MARET 2011_PT ISK TGL 28  JUNI 2012" xfId="156"/>
    <cellStyle name=",_Upah Bongkar  TBS ~ MARET 2011_PT.ISK TGL 27  JUNI 2012" xfId="157"/>
    <cellStyle name=",_Upah Bongkar  TBS ~ MARET 2011_PT.ISK TGL 28  JUNI 2012" xfId="158"/>
    <cellStyle name=",_Upah Bongkar  TBS ~ MARET 2011_TIMBANGAN2" xfId="159"/>
    <cellStyle name=",_Upah Bongkar  TBS ~ MARET 2011_Upah Bongkar ~  Agustus 2012" xfId="160"/>
    <cellStyle name=",_Upah Bongkar ~  AGUSTUS 2011" xfId="161"/>
    <cellStyle name=",_Upah Bongkar ~  Agustus 2012" xfId="162"/>
    <cellStyle name=",_Uph Bongkar  ~DES  2010" xfId="163"/>
    <cellStyle name=",_Uph Bongkar  ~DES  2010_ BYR " xfId="164"/>
    <cellStyle name=",_Uph Bongkar  ~DES  2010_1" xfId="165"/>
    <cellStyle name=",_Uph Bongkar  ~DES  2010_ISK (14 JULI 2012)" xfId="166"/>
    <cellStyle name=",_Uph Bongkar  ~DES  2010_KOPRA  JULI  2012" xfId="167"/>
    <cellStyle name=",_Uph Bongkar  ~DES  2010_KOPRA  JUNI  2012" xfId="168"/>
    <cellStyle name=",_Uph Bongkar  ~DES  2010_KOPRA  OKTOBER  2012" xfId="169"/>
    <cellStyle name=",_Uph Bongkar  ~DES  2010_KOPRA FEBRUARI  2013" xfId="170"/>
    <cellStyle name=",_Uph Bongkar  ~DES  2010_Upah Bongkar ~  AGUSTUS 2011" xfId="171"/>
    <cellStyle name=",_Uph Bongkar  ~DES  2010_Upah Bongkar ~  Agustus 2012" xfId="172"/>
    <cellStyle name=",_Uph Bongkar  ~DES  2010_Usulan Pembayaran TBS ~ Agustus 2012" xfId="173"/>
    <cellStyle name=",_Usulan Pembayaran TBS ~ Agustus 2012" xfId="174"/>
    <cellStyle name="?" xfId="175"/>
    <cellStyle name="??" xfId="176"/>
    <cellStyle name="?? 1" xfId="177"/>
    <cellStyle name="?? 2" xfId="178"/>
    <cellStyle name="?? 3" xfId="179"/>
    <cellStyle name="?? 4" xfId="180"/>
    <cellStyle name="????" xfId="181"/>
    <cellStyle name="?????" xfId="182"/>
    <cellStyle name="??????" xfId="183"/>
    <cellStyle name="????_ BYR" xfId="184"/>
    <cellStyle name="??_ BYR" xfId="185"/>
    <cellStyle name="??1" xfId="186"/>
    <cellStyle name="??2" xfId="187"/>
    <cellStyle name="??3" xfId="188"/>
    <cellStyle name="??4" xfId="189"/>
    <cellStyle name="??5" xfId="190"/>
    <cellStyle name="??6" xfId="191"/>
    <cellStyle name="?_ BYR" xfId="192"/>
    <cellStyle name="20% - ??1" xfId="193"/>
    <cellStyle name="20% - ??2" xfId="194"/>
    <cellStyle name="20% - ??3" xfId="195"/>
    <cellStyle name="20% - ??4" xfId="196"/>
    <cellStyle name="20% - ??5" xfId="197"/>
    <cellStyle name="20% - ??6" xfId="198"/>
    <cellStyle name="20% - 輔色1" xfId="4"/>
    <cellStyle name="20% - 輔色2" xfId="5"/>
    <cellStyle name="20% - 輔色3" xfId="6"/>
    <cellStyle name="20% - 輔色4" xfId="7"/>
    <cellStyle name="20% - 輔色5" xfId="8"/>
    <cellStyle name="20% - 輔色6" xfId="9"/>
    <cellStyle name="40% - ??1" xfId="199"/>
    <cellStyle name="40% - ??2" xfId="200"/>
    <cellStyle name="40% - ??3" xfId="201"/>
    <cellStyle name="40% - ??4" xfId="202"/>
    <cellStyle name="40% - ??5" xfId="203"/>
    <cellStyle name="40% - ??6" xfId="204"/>
    <cellStyle name="40% - 輔色1" xfId="10"/>
    <cellStyle name="40% - 輔色2" xfId="11"/>
    <cellStyle name="40% - 輔色3" xfId="12"/>
    <cellStyle name="40% - 輔色4" xfId="13"/>
    <cellStyle name="40% - 輔色5" xfId="14"/>
    <cellStyle name="40% - 輔色6" xfId="15"/>
    <cellStyle name="60% - ??1" xfId="205"/>
    <cellStyle name="60% - ??2" xfId="206"/>
    <cellStyle name="60% - ??3" xfId="207"/>
    <cellStyle name="60% - ??4" xfId="208"/>
    <cellStyle name="60% - ??5" xfId="209"/>
    <cellStyle name="60% - ??6" xfId="210"/>
    <cellStyle name="60% - 輔色1" xfId="16"/>
    <cellStyle name="60% - 輔色2" xfId="17"/>
    <cellStyle name="60% - 輔色3" xfId="18"/>
    <cellStyle name="60% - 輔色4" xfId="19"/>
    <cellStyle name="60% - 輔色5" xfId="20"/>
    <cellStyle name="60% - 輔色6" xfId="21"/>
    <cellStyle name="Comma" xfId="1" builtinId="3"/>
    <cellStyle name="Comma [0]" xfId="2" builtinId="6"/>
    <cellStyle name="Comma [0] 10" xfId="211"/>
    <cellStyle name="Comma [0] 10 10" xfId="212"/>
    <cellStyle name="Comma [0] 10 2" xfId="213"/>
    <cellStyle name="Comma [0] 10 2 2" xfId="417"/>
    <cellStyle name="Comma [0] 10 3" xfId="214"/>
    <cellStyle name="Comma [0] 10 4" xfId="215"/>
    <cellStyle name="Comma [0] 10 5" xfId="216"/>
    <cellStyle name="Comma [0] 10 6" xfId="217"/>
    <cellStyle name="Comma [0] 10 7" xfId="218"/>
    <cellStyle name="Comma [0] 10 8" xfId="219"/>
    <cellStyle name="Comma [0] 10 9" xfId="220"/>
    <cellStyle name="Comma [0] 11" xfId="221"/>
    <cellStyle name="Comma [0] 12" xfId="222"/>
    <cellStyle name="Comma [0] 13" xfId="223"/>
    <cellStyle name="Comma [0] 14" xfId="224"/>
    <cellStyle name="Comma [0] 14 2" xfId="225"/>
    <cellStyle name="Comma [0] 15" xfId="226"/>
    <cellStyle name="Comma [0] 16" xfId="227"/>
    <cellStyle name="Comma [0] 16 2" xfId="228"/>
    <cellStyle name="Comma [0] 17" xfId="229"/>
    <cellStyle name="Comma [0] 17 2" xfId="230"/>
    <cellStyle name="Comma [0] 18" xfId="231"/>
    <cellStyle name="Comma [0] 19" xfId="232"/>
    <cellStyle name="Comma [0] 2" xfId="22"/>
    <cellStyle name="Comma [0] 2 10" xfId="233"/>
    <cellStyle name="Comma [0] 2 11" xfId="234"/>
    <cellStyle name="Comma [0] 2 12" xfId="235"/>
    <cellStyle name="Comma [0] 2 2" xfId="236"/>
    <cellStyle name="Comma [0] 2 2 2" xfId="237"/>
    <cellStyle name="Comma [0] 2 2 3" xfId="415"/>
    <cellStyle name="Comma [0] 2 2 3 2" xfId="418"/>
    <cellStyle name="Comma [0] 2 3" xfId="238"/>
    <cellStyle name="Comma [0] 2 4" xfId="239"/>
    <cellStyle name="Comma [0] 2 5" xfId="240"/>
    <cellStyle name="Comma [0] 2 6" xfId="241"/>
    <cellStyle name="Comma [0] 2 7" xfId="242"/>
    <cellStyle name="Comma [0] 2 8" xfId="243"/>
    <cellStyle name="Comma [0] 2 9" xfId="244"/>
    <cellStyle name="Comma [0] 20" xfId="245"/>
    <cellStyle name="Comma [0] 21" xfId="246"/>
    <cellStyle name="Comma [0] 21 10" xfId="247"/>
    <cellStyle name="Comma [0] 21 2" xfId="248"/>
    <cellStyle name="Comma [0] 21 2 2" xfId="419"/>
    <cellStyle name="Comma [0] 21 3" xfId="249"/>
    <cellStyle name="Comma [0] 21 4" xfId="250"/>
    <cellStyle name="Comma [0] 21 5" xfId="251"/>
    <cellStyle name="Comma [0] 21 6" xfId="252"/>
    <cellStyle name="Comma [0] 21 7" xfId="253"/>
    <cellStyle name="Comma [0] 21 8" xfId="254"/>
    <cellStyle name="Comma [0] 21 9" xfId="255"/>
    <cellStyle name="Comma [0] 22" xfId="256"/>
    <cellStyle name="Comma [0] 23" xfId="257"/>
    <cellStyle name="Comma [0] 23 2" xfId="258"/>
    <cellStyle name="Comma [0] 24" xfId="259"/>
    <cellStyle name="Comma [0] 3" xfId="260"/>
    <cellStyle name="Comma [0] 3 2" xfId="261"/>
    <cellStyle name="Comma [0] 3 3" xfId="262"/>
    <cellStyle name="Comma [0] 4" xfId="263"/>
    <cellStyle name="Comma [0] 4 2" xfId="264"/>
    <cellStyle name="Comma [0] 5" xfId="265"/>
    <cellStyle name="Comma [0] 6" xfId="266"/>
    <cellStyle name="Comma [0] 7" xfId="267"/>
    <cellStyle name="Comma [0] 7 2" xfId="268"/>
    <cellStyle name="Comma [0] 8" xfId="269"/>
    <cellStyle name="Comma [0] 8 2" xfId="270"/>
    <cellStyle name="Comma [0] 9" xfId="271"/>
    <cellStyle name="Comma [0] 9 10" xfId="272"/>
    <cellStyle name="Comma [0] 9 2" xfId="273"/>
    <cellStyle name="Comma [0] 9 3" xfId="274"/>
    <cellStyle name="Comma [0] 9 4" xfId="275"/>
    <cellStyle name="Comma [0] 9 5" xfId="276"/>
    <cellStyle name="Comma [0] 9 6" xfId="277"/>
    <cellStyle name="Comma [0] 9 7" xfId="278"/>
    <cellStyle name="Comma [0] 9 8" xfId="279"/>
    <cellStyle name="Comma [0] 9 9" xfId="280"/>
    <cellStyle name="Comma 10" xfId="281"/>
    <cellStyle name="Comma 10 10" xfId="282"/>
    <cellStyle name="Comma 10 2" xfId="283"/>
    <cellStyle name="Comma 10 2 2" xfId="420"/>
    <cellStyle name="Comma 10 3" xfId="284"/>
    <cellStyle name="Comma 10 4" xfId="285"/>
    <cellStyle name="Comma 10 5" xfId="286"/>
    <cellStyle name="Comma 10 6" xfId="287"/>
    <cellStyle name="Comma 10 7" xfId="288"/>
    <cellStyle name="Comma 10 8" xfId="289"/>
    <cellStyle name="Comma 10 9" xfId="290"/>
    <cellStyle name="Comma 11" xfId="291"/>
    <cellStyle name="Comma 12" xfId="292"/>
    <cellStyle name="Comma 13" xfId="293"/>
    <cellStyle name="Comma 13 2" xfId="294"/>
    <cellStyle name="Comma 14" xfId="295"/>
    <cellStyle name="Comma 15" xfId="296"/>
    <cellStyle name="Comma 16" xfId="297"/>
    <cellStyle name="Comma 17" xfId="298"/>
    <cellStyle name="Comma 18" xfId="299"/>
    <cellStyle name="Comma 19" xfId="300"/>
    <cellStyle name="Comma 19 2" xfId="301"/>
    <cellStyle name="Comma 2" xfId="23"/>
    <cellStyle name="Comma 2 10" xfId="302"/>
    <cellStyle name="Comma 2 11" xfId="303"/>
    <cellStyle name="Comma 2 12" xfId="304"/>
    <cellStyle name="Comma 2 13" xfId="305"/>
    <cellStyle name="Comma 2 14" xfId="431"/>
    <cellStyle name="Comma 2 2" xfId="306"/>
    <cellStyle name="Comma 2 2 2" xfId="432"/>
    <cellStyle name="Comma 2 2 3" xfId="433"/>
    <cellStyle name="Comma 2 2 4" xfId="434"/>
    <cellStyle name="Comma 2 2 5" xfId="435"/>
    <cellStyle name="Comma 2 3" xfId="307"/>
    <cellStyle name="Comma 2 4" xfId="308"/>
    <cellStyle name="Comma 2 5" xfId="309"/>
    <cellStyle name="Comma 2 6" xfId="310"/>
    <cellStyle name="Comma 2 7" xfId="311"/>
    <cellStyle name="Comma 2 8" xfId="312"/>
    <cellStyle name="Comma 2 9" xfId="313"/>
    <cellStyle name="Comma 20" xfId="314"/>
    <cellStyle name="Comma 20 2" xfId="315"/>
    <cellStyle name="Comma 20 3" xfId="316"/>
    <cellStyle name="Comma 21" xfId="317"/>
    <cellStyle name="Comma 22" xfId="416"/>
    <cellStyle name="Comma 23" xfId="426"/>
    <cellStyle name="Comma 23 2" xfId="428"/>
    <cellStyle name="Comma 24" xfId="318"/>
    <cellStyle name="Comma 24 2" xfId="319"/>
    <cellStyle name="Comma 3" xfId="320"/>
    <cellStyle name="Comma 3 2" xfId="321"/>
    <cellStyle name="Comma 3 3" xfId="322"/>
    <cellStyle name="Comma 4" xfId="323"/>
    <cellStyle name="Comma 4 2" xfId="324"/>
    <cellStyle name="Comma 4 3" xfId="325"/>
    <cellStyle name="Comma 4 4" xfId="326"/>
    <cellStyle name="Comma 4 5" xfId="327"/>
    <cellStyle name="Comma 4 6" xfId="328"/>
    <cellStyle name="Comma 4 7" xfId="329"/>
    <cellStyle name="Comma 4 8" xfId="330"/>
    <cellStyle name="Comma 4 9" xfId="331"/>
    <cellStyle name="Comma 5" xfId="332"/>
    <cellStyle name="Comma 6" xfId="333"/>
    <cellStyle name="Comma 7" xfId="334"/>
    <cellStyle name="Comma 7 2" xfId="335"/>
    <cellStyle name="Comma 8" xfId="336"/>
    <cellStyle name="Comma 8 2" xfId="337"/>
    <cellStyle name="Comma 8 3" xfId="338"/>
    <cellStyle name="Comma 9" xfId="339"/>
    <cellStyle name="Comma 9 2" xfId="340"/>
    <cellStyle name="Comma 9 3" xfId="341"/>
    <cellStyle name="Comma 9 4" xfId="342"/>
    <cellStyle name="Comma 9 5" xfId="343"/>
    <cellStyle name="Comma 9 6" xfId="344"/>
    <cellStyle name="Comma 9 7" xfId="345"/>
    <cellStyle name="Comma 9 8" xfId="346"/>
    <cellStyle name="Comma 9 9" xfId="347"/>
    <cellStyle name="Date" xfId="24"/>
    <cellStyle name="Euro" xfId="348"/>
    <cellStyle name="F2" xfId="25"/>
    <cellStyle name="F3" xfId="26"/>
    <cellStyle name="F4" xfId="27"/>
    <cellStyle name="F5" xfId="28"/>
    <cellStyle name="F6" xfId="29"/>
    <cellStyle name="F7" xfId="30"/>
    <cellStyle name="F8" xfId="31"/>
    <cellStyle name="Fixed" xfId="32"/>
    <cellStyle name="Heading1" xfId="33"/>
    <cellStyle name="Heading2" xfId="34"/>
    <cellStyle name="Hyperlink" xfId="437" builtinId="8"/>
    <cellStyle name="Hyperlink 2" xfId="349"/>
    <cellStyle name="Normal" xfId="0" builtinId="0"/>
    <cellStyle name="Normal 10" xfId="350"/>
    <cellStyle name="Normal 10 2" xfId="351"/>
    <cellStyle name="Normal 10 3" xfId="352"/>
    <cellStyle name="Normal 10 4" xfId="353"/>
    <cellStyle name="Normal 10 5" xfId="354"/>
    <cellStyle name="Normal 10 6" xfId="355"/>
    <cellStyle name="Normal 10 7" xfId="356"/>
    <cellStyle name="Normal 10 8" xfId="357"/>
    <cellStyle name="Normal 10 9" xfId="358"/>
    <cellStyle name="Normal 10_ABRI TAUPAN" xfId="359"/>
    <cellStyle name="Normal 11" xfId="360"/>
    <cellStyle name="Normal 11 2" xfId="361"/>
    <cellStyle name="Normal 11 2 2" xfId="421"/>
    <cellStyle name="Normal 12" xfId="362"/>
    <cellStyle name="Normal 13" xfId="363"/>
    <cellStyle name="Normal 14" xfId="364"/>
    <cellStyle name="Normal 15" xfId="365"/>
    <cellStyle name="Normal 16" xfId="366"/>
    <cellStyle name="Normal 17" xfId="367"/>
    <cellStyle name="Normal 18" xfId="368"/>
    <cellStyle name="Normal 19" xfId="369"/>
    <cellStyle name="Normal 2" xfId="370"/>
    <cellStyle name="Normal 2 10" xfId="371"/>
    <cellStyle name="Normal 2 11" xfId="372"/>
    <cellStyle name="Normal 2 12" xfId="373"/>
    <cellStyle name="Normal 2 2" xfId="374"/>
    <cellStyle name="Normal 2 3" xfId="375"/>
    <cellStyle name="Normal 2 4" xfId="376"/>
    <cellStyle name="Normal 2 5" xfId="377"/>
    <cellStyle name="Normal 2 6" xfId="378"/>
    <cellStyle name="Normal 2 7" xfId="379"/>
    <cellStyle name="Normal 2 8" xfId="380"/>
    <cellStyle name="Normal 2 9" xfId="381"/>
    <cellStyle name="Normal 2_ BYR " xfId="382"/>
    <cellStyle name="Normal 20" xfId="383"/>
    <cellStyle name="Normal 21" xfId="384"/>
    <cellStyle name="Normal 22" xfId="385"/>
    <cellStyle name="Normal 23" xfId="386"/>
    <cellStyle name="Normal 23 2" xfId="387"/>
    <cellStyle name="Normal 24" xfId="388"/>
    <cellStyle name="Normal 25" xfId="389"/>
    <cellStyle name="Normal 26" xfId="390"/>
    <cellStyle name="Normal 27" xfId="391"/>
    <cellStyle name="Normal 28" xfId="422"/>
    <cellStyle name="Normal 29" xfId="430"/>
    <cellStyle name="Normal 29 2" xfId="436"/>
    <cellStyle name="Normal 3" xfId="35"/>
    <cellStyle name="Normal 3 17" xfId="413"/>
    <cellStyle name="Normal 3 2" xfId="392"/>
    <cellStyle name="Normal 3_ BYR " xfId="393"/>
    <cellStyle name="Normal 4" xfId="394"/>
    <cellStyle name="Normal 5" xfId="395"/>
    <cellStyle name="Normal 5 2" xfId="396"/>
    <cellStyle name="Normal 5 3" xfId="397"/>
    <cellStyle name="Normal 5 4" xfId="398"/>
    <cellStyle name="Normal 5 5" xfId="399"/>
    <cellStyle name="Normal 5 6" xfId="400"/>
    <cellStyle name="Normal 5 7" xfId="401"/>
    <cellStyle name="Normal 5 8" xfId="402"/>
    <cellStyle name="Normal 5 9" xfId="403"/>
    <cellStyle name="Normal 5_ABRI TAUPAN" xfId="404"/>
    <cellStyle name="Normal 6" xfId="405"/>
    <cellStyle name="Normal 7" xfId="406"/>
    <cellStyle name="Normal 8" xfId="407"/>
    <cellStyle name="Normal 8 2" xfId="408"/>
    <cellStyle name="Normal 8 2 2" xfId="414"/>
    <cellStyle name="Normal 8 2 3" xfId="427"/>
    <cellStyle name="Normal 8 2 3 2" xfId="429"/>
    <cellStyle name="Normal 8 2 4" xfId="438"/>
    <cellStyle name="Normal 9" xfId="409"/>
    <cellStyle name="Normal 9 2" xfId="410"/>
    <cellStyle name="Normal 9_ BYR " xfId="411"/>
    <cellStyle name="Normal_KB-FEB_KOPRA  JUNI  2012 2" xfId="425"/>
    <cellStyle name="Normal_KOPRA  JUNI  2012 2" xfId="423"/>
    <cellStyle name="Normal_KPR-FEB_KOPRA  JUNI  2012 2" xfId="424"/>
    <cellStyle name="times new roman" xfId="412"/>
    <cellStyle name="中等" xfId="36"/>
    <cellStyle name="備註" xfId="37"/>
    <cellStyle name="合計" xfId="38"/>
    <cellStyle name="壞" xfId="39"/>
    <cellStyle name="好" xfId="40"/>
    <cellStyle name="標題" xfId="41"/>
    <cellStyle name="標題 1" xfId="42"/>
    <cellStyle name="標題 2" xfId="43"/>
    <cellStyle name="標題 3" xfId="44"/>
    <cellStyle name="標題 4" xfId="45"/>
    <cellStyle name="檢查儲存格" xfId="46"/>
    <cellStyle name="計算方式" xfId="47"/>
    <cellStyle name="說明文字" xfId="48"/>
    <cellStyle name="警告文字" xfId="49"/>
    <cellStyle name="輔色1" xfId="50"/>
    <cellStyle name="輔色2" xfId="51"/>
    <cellStyle name="輔色3" xfId="52"/>
    <cellStyle name="輔色4" xfId="53"/>
    <cellStyle name="輔色5" xfId="54"/>
    <cellStyle name="輔色6" xfId="55"/>
    <cellStyle name="輸入" xfId="56"/>
    <cellStyle name="輸出" xfId="57"/>
    <cellStyle name="連結的儲存格" xfId="58"/>
  </cellStyles>
  <dxfs count="112"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* #,##0_);_(* \(#,##0\);_(* &quot;-&quot;??_);_(@_)"/>
      <alignment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wrapText="0" indent="0" relativeIndent="255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textRotation="0" wrapText="0" indent="0" relativeIndent="255" justifyLastLine="0" shrinkToFit="0" readingOrder="0"/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</dxf>
    <dxf>
      <border outline="0">
        <left style="double">
          <color auto="1"/>
        </left>
        <right style="double">
          <color auto="1"/>
        </right>
        <top style="double">
          <color auto="1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center" textRotation="0" wrapText="0" indent="0" relativeIndent="0" justifyLastLine="0" shrinkToFit="0" mergeCell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0000CC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numFmt numFmtId="0" formatCode="General"/>
      <fill>
        <patternFill patternType="none">
          <fgColor rgb="FF000000"/>
          <bgColor auto="1"/>
        </patternFill>
      </fill>
      <alignment horizontal="center" vertical="bottom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mic Sans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FFFF00"/>
      </font>
      <fill>
        <patternFill>
          <bgColor rgb="FFFF00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mic Sans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FFFF00"/>
      </font>
      <fill>
        <patternFill>
          <bgColor rgb="FFFF0000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wrapText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2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mic Sans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FFFF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LAP%20TERIMA%20BAHAN%20BAKU%20PT%20CMI%20(%2012%20MARET%202020%20%20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REKAP%20MARE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Rili/2020/MARET%20CMI%202020/LAP%20TERIMA%20BAHAN%20BAKU%20PT%20CMI%20(%2018%20MARET%202020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REKAP%20MARET%20%20ISK%202%20(2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REKAP%20MARET%20%20ISK%20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2019/3%20-%20ISK/2019%20DATA%20UD%20IKAT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KB SABUT "/>
      <sheetName val="KPR "/>
      <sheetName val="KB CMI TYPE B"/>
      <sheetName val="KB CMI TYPE A"/>
      <sheetName val="REKAP"/>
    </sheetNames>
    <sheetDataSet>
      <sheetData sheetId="0"/>
      <sheetData sheetId="1"/>
      <sheetData sheetId="2"/>
      <sheetData sheetId="3"/>
      <sheetData sheetId="4">
        <row r="718">
          <cell r="D718" t="str">
            <v>ERAWATI</v>
          </cell>
          <cell r="E718" t="str">
            <v>SEI SEJUK</v>
          </cell>
          <cell r="F718">
            <v>1</v>
          </cell>
          <cell r="G718">
            <v>9480</v>
          </cell>
          <cell r="H718">
            <v>4290</v>
          </cell>
        </row>
        <row r="719">
          <cell r="D719" t="str">
            <v>INDRAYANI</v>
          </cell>
          <cell r="E719" t="str">
            <v>SEI SEJUK</v>
          </cell>
          <cell r="F719">
            <v>1</v>
          </cell>
          <cell r="G719">
            <v>10430</v>
          </cell>
          <cell r="H719">
            <v>4330</v>
          </cell>
        </row>
        <row r="720">
          <cell r="D720" t="str">
            <v>RUSLAN JAYA, SH</v>
          </cell>
          <cell r="E720" t="str">
            <v>TEMBILAHAN</v>
          </cell>
          <cell r="F720">
            <v>4</v>
          </cell>
          <cell r="G720">
            <v>48780</v>
          </cell>
          <cell r="H720">
            <v>18070</v>
          </cell>
        </row>
        <row r="721">
          <cell r="D721" t="str">
            <v>YANADI</v>
          </cell>
          <cell r="E721" t="str">
            <v>ENOK</v>
          </cell>
          <cell r="F721">
            <v>1</v>
          </cell>
          <cell r="G721">
            <v>13960</v>
          </cell>
          <cell r="H721">
            <v>4550</v>
          </cell>
        </row>
        <row r="722">
          <cell r="D722" t="str">
            <v>HENDRI/KM.ROBI JAYA</v>
          </cell>
          <cell r="E722" t="str">
            <v>TEMBILAHAN</v>
          </cell>
          <cell r="F722">
            <v>4</v>
          </cell>
          <cell r="G722">
            <v>33140</v>
          </cell>
          <cell r="H722">
            <v>15570</v>
          </cell>
        </row>
        <row r="723">
          <cell r="D723" t="str">
            <v>MARTONO/KM.HASLINA</v>
          </cell>
          <cell r="E723" t="str">
            <v>TBH</v>
          </cell>
          <cell r="F723">
            <v>1</v>
          </cell>
          <cell r="G723">
            <v>8580</v>
          </cell>
          <cell r="H723">
            <v>3880</v>
          </cell>
        </row>
        <row r="724">
          <cell r="D724" t="str">
            <v>MARTONO/KM.RUPI</v>
          </cell>
          <cell r="E724" t="str">
            <v>TBH</v>
          </cell>
          <cell r="F724">
            <v>1</v>
          </cell>
          <cell r="G724">
            <v>6840</v>
          </cell>
          <cell r="H724">
            <v>3890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4">
          <cell r="D14" t="str">
            <v>SEI SEJUK</v>
          </cell>
          <cell r="E14">
            <v>3</v>
          </cell>
          <cell r="F14">
            <v>31970</v>
          </cell>
          <cell r="G14">
            <v>16340</v>
          </cell>
        </row>
        <row r="15">
          <cell r="D15" t="str">
            <v>TEMBILAHAN</v>
          </cell>
          <cell r="E15">
            <v>2</v>
          </cell>
          <cell r="F15">
            <v>8260</v>
          </cell>
          <cell r="G15">
            <v>3200</v>
          </cell>
        </row>
      </sheetData>
      <sheetData sheetId="13"/>
      <sheetData sheetId="14"/>
      <sheetData sheetId="15"/>
      <sheetData sheetId="16"/>
      <sheetData sheetId="17"/>
      <sheetData sheetId="18">
        <row r="14">
          <cell r="D14" t="str">
            <v>SEI SEJUK</v>
          </cell>
          <cell r="E14">
            <v>1</v>
          </cell>
          <cell r="F14">
            <v>10790</v>
          </cell>
          <cell r="G14">
            <v>4380</v>
          </cell>
        </row>
        <row r="15">
          <cell r="D15" t="str">
            <v>SEI SEJUK</v>
          </cell>
          <cell r="E15">
            <v>1</v>
          </cell>
          <cell r="F15">
            <v>12870</v>
          </cell>
          <cell r="G15">
            <v>4510</v>
          </cell>
        </row>
        <row r="16">
          <cell r="D16" t="str">
            <v>ENOK</v>
          </cell>
          <cell r="E16">
            <v>4</v>
          </cell>
          <cell r="F16">
            <v>31110</v>
          </cell>
          <cell r="G16">
            <v>11670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KB SABUT "/>
      <sheetName val="KPR "/>
      <sheetName val="KB CMI TYPE B"/>
      <sheetName val="KB CMI TYPE A"/>
      <sheetName val="REKA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052">
          <cell r="D1052" t="str">
            <v>ERAWATI</v>
          </cell>
          <cell r="E1052" t="str">
            <v>SEI SEJUK</v>
          </cell>
          <cell r="F1052">
            <v>1</v>
          </cell>
          <cell r="G1052">
            <v>10510</v>
          </cell>
          <cell r="H1052">
            <v>4450</v>
          </cell>
        </row>
        <row r="1053">
          <cell r="D1053" t="str">
            <v>INDRAYANI</v>
          </cell>
          <cell r="E1053" t="str">
            <v>SEI SEJUK</v>
          </cell>
          <cell r="F1053">
            <v>1</v>
          </cell>
          <cell r="G1053">
            <v>9460</v>
          </cell>
          <cell r="H1053">
            <v>4440</v>
          </cell>
        </row>
        <row r="1054">
          <cell r="D1054" t="str">
            <v>YANADI</v>
          </cell>
          <cell r="E1054" t="str">
            <v>ENOK</v>
          </cell>
          <cell r="F1054">
            <v>2</v>
          </cell>
          <cell r="G1054">
            <v>14800</v>
          </cell>
          <cell r="H1054">
            <v>6160</v>
          </cell>
        </row>
        <row r="1055">
          <cell r="D1055" t="str">
            <v>MARTONO/KM.WASI</v>
          </cell>
          <cell r="E1055" t="str">
            <v>TBH</v>
          </cell>
          <cell r="F1055">
            <v>1</v>
          </cell>
          <cell r="G1055">
            <v>6820</v>
          </cell>
          <cell r="H1055">
            <v>3800</v>
          </cell>
        </row>
        <row r="1112">
          <cell r="D1112" t="str">
            <v>ERAWATI</v>
          </cell>
          <cell r="E1112" t="str">
            <v>SEI SEJUK</v>
          </cell>
          <cell r="F1112">
            <v>2</v>
          </cell>
          <cell r="G1112">
            <v>14700</v>
          </cell>
          <cell r="H1112">
            <v>5620</v>
          </cell>
        </row>
        <row r="1113">
          <cell r="D1113" t="str">
            <v>ERAWATI/KM.TIRTA KENCANA</v>
          </cell>
          <cell r="E1113" t="str">
            <v>SEI SEJUK</v>
          </cell>
          <cell r="F1113">
            <v>1</v>
          </cell>
          <cell r="G1113">
            <v>8840</v>
          </cell>
          <cell r="H1113">
            <v>3900</v>
          </cell>
        </row>
        <row r="1114">
          <cell r="D1114" t="str">
            <v>INDRAYANI</v>
          </cell>
          <cell r="E1114" t="str">
            <v>SEI SEJUK</v>
          </cell>
          <cell r="F1114">
            <v>2</v>
          </cell>
          <cell r="G1114">
            <v>19500</v>
          </cell>
          <cell r="H1114">
            <v>7760</v>
          </cell>
        </row>
        <row r="1115">
          <cell r="E1115" t="str">
            <v>TEMBILAHAN</v>
          </cell>
          <cell r="F1115">
            <v>1</v>
          </cell>
          <cell r="G1115">
            <v>12200</v>
          </cell>
          <cell r="H1115">
            <v>4590</v>
          </cell>
        </row>
        <row r="1116">
          <cell r="D1116" t="str">
            <v>YANADI</v>
          </cell>
          <cell r="E1116" t="str">
            <v>ENOK</v>
          </cell>
          <cell r="F1116">
            <v>2</v>
          </cell>
          <cell r="G1116">
            <v>7990</v>
          </cell>
          <cell r="H1116">
            <v>3370</v>
          </cell>
        </row>
        <row r="1117">
          <cell r="D1117" t="str">
            <v>MARTONO/KM.RUPI</v>
          </cell>
          <cell r="E1117" t="str">
            <v>TBH</v>
          </cell>
          <cell r="F1117">
            <v>1</v>
          </cell>
          <cell r="G1117">
            <v>5360</v>
          </cell>
          <cell r="H1117">
            <v>3950</v>
          </cell>
        </row>
        <row r="1118">
          <cell r="D1118" t="str">
            <v>MARTONO/KM.WASI</v>
          </cell>
          <cell r="E1118" t="str">
            <v>TBH</v>
          </cell>
          <cell r="F1118">
            <v>1</v>
          </cell>
          <cell r="G1118">
            <v>7210</v>
          </cell>
          <cell r="H1118">
            <v>3890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8">
          <cell r="C8" t="str">
            <v>DINI CHAIRANI/KM.RUSLI</v>
          </cell>
          <cell r="D8" t="str">
            <v>P.PALAS</v>
          </cell>
          <cell r="E8">
            <v>2</v>
          </cell>
          <cell r="F8">
            <v>13800</v>
          </cell>
          <cell r="G8">
            <v>7740</v>
          </cell>
        </row>
        <row r="9">
          <cell r="C9" t="str">
            <v>HENDRI/KM.CHANDRA JAYA</v>
          </cell>
          <cell r="D9" t="str">
            <v>TEMBILAHAN</v>
          </cell>
          <cell r="E9">
            <v>1</v>
          </cell>
          <cell r="F9">
            <v>9010</v>
          </cell>
          <cell r="G9">
            <v>3880</v>
          </cell>
        </row>
        <row r="10">
          <cell r="C10" t="str">
            <v>HENDRI/KM.SETIA</v>
          </cell>
          <cell r="D10" t="str">
            <v>TEMBILAHAN</v>
          </cell>
          <cell r="E10">
            <v>1</v>
          </cell>
          <cell r="F10">
            <v>6960</v>
          </cell>
          <cell r="G10">
            <v>3900</v>
          </cell>
        </row>
        <row r="11">
          <cell r="C11" t="str">
            <v>WARTINI/KM.KOTA MISISSIPI</v>
          </cell>
          <cell r="D11" t="str">
            <v>SENDAWA</v>
          </cell>
          <cell r="E11">
            <v>28</v>
          </cell>
          <cell r="F11">
            <v>226090</v>
          </cell>
          <cell r="G11">
            <v>109060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8">
          <cell r="D8" t="str">
            <v>TEMBILAHAN</v>
          </cell>
          <cell r="E8">
            <v>1</v>
          </cell>
          <cell r="F8">
            <v>6780</v>
          </cell>
          <cell r="G8">
            <v>3870</v>
          </cell>
        </row>
        <row r="9">
          <cell r="D9" t="str">
            <v>SENDAWA</v>
          </cell>
          <cell r="E9">
            <v>10</v>
          </cell>
          <cell r="F9">
            <v>80690</v>
          </cell>
          <cell r="G9">
            <v>38750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ATA-TPR"/>
      <sheetName val="DATA-ARG"/>
      <sheetName val="DATA-KPR"/>
      <sheetName val="DATA-ABU"/>
      <sheetName val="GLOBAL"/>
      <sheetName val="REKAP"/>
      <sheetName val="DATABA"/>
      <sheetName val="FORMULA TERBILANG"/>
      <sheetName val="BERITA ACARA OPNAME"/>
      <sheetName val="TPR-pri-bln-tgl"/>
      <sheetName val="BA-TPR"/>
      <sheetName val="INVTPR"/>
      <sheetName val="REKAP-ARG"/>
      <sheetName val="BA-ARG"/>
      <sheetName val="INVARG"/>
      <sheetName val="REKAP-KPR"/>
      <sheetName val="BA KPR"/>
      <sheetName val="INVKPR"/>
      <sheetName val="ABU-pri-bln-tgl"/>
      <sheetName val="BA-ABU"/>
      <sheetName val="INVABU"/>
      <sheetName val="2019 DATA UD IK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tables/table1.xml><?xml version="1.0" encoding="utf-8"?>
<table xmlns="http://schemas.openxmlformats.org/spreadsheetml/2006/main" id="1" name="SUPP" displayName="SUPP" ref="B2:H51" totalsRowShown="0" headerRowDxfId="90" dataDxfId="88" headerRowBorderDxfId="89" tableBorderDxfId="87" headerRowCellStyle="Normal 29">
  <autoFilter ref="B2:H51">
    <filterColumn colId="5"/>
    <filterColumn colId="6"/>
  </autoFilter>
  <sortState ref="B3:G47">
    <sortCondition ref="C3:C47"/>
  </sortState>
  <tableColumns count="7">
    <tableColumn id="1" name="NO" dataDxfId="86" dataCellStyle="Normal 29">
      <calculatedColumnFormula>IF(ISBLANK(C3),"",COUNTA($C$3:C3))</calculatedColumnFormula>
    </tableColumn>
    <tableColumn id="2" name="RELASI" dataDxfId="85" dataCellStyle="Normal 29"/>
    <tableColumn id="3" name="ALAMAT" dataDxfId="84" dataCellStyle="Normal 29"/>
    <tableColumn id="4" name="DOCKB" dataDxfId="83" dataCellStyle="Normal 29"/>
    <tableColumn id="5" name="DOCKBB" dataDxfId="82" dataCellStyle="Normal 29"/>
    <tableColumn id="6" name="DOCKBS" dataDxfId="81" dataCellStyle="Normal 29"/>
    <tableColumn id="7" name="Column1" dataDxfId="80" dataCellStyle="Normal 29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5" name="DATAKBA" displayName="DATAKBA" ref="B2:Q674" totalsRowShown="0" headerRowDxfId="78">
  <autoFilter ref="B2:Q674">
    <filterColumn colId="0"/>
    <filterColumn colId="3"/>
    <filterColumn colId="11"/>
  </autoFilter>
  <tableColumns count="16">
    <tableColumn id="9" name="NAMA SUPP" dataDxfId="77">
      <calculatedColumnFormula>SUPPAJA</calculatedColumnFormula>
    </tableColumn>
    <tableColumn id="10" name="CEK" dataDxfId="76">
      <calculatedColumnFormula>IF(COUNTIFS($B$3:B3,DATAKBA[[#This Row],[NAMA SUPP]],$E$3:E3,DATAKBA[[#This Row],[TANGGAL]])&lt;&gt;1,0,1)</calculatedColumnFormula>
    </tableColumn>
    <tableColumn id="1" name="NO" dataDxfId="75">
      <calculatedColumnFormula>COUNTER_RUDI</calculatedColumnFormula>
    </tableColumn>
    <tableColumn id="2" name="TANGGAL" dataDxfId="74"/>
    <tableColumn id="3" name="DOK" dataDxfId="73" dataCellStyle="Normal_KOPRA  JUNI  2012 2">
      <calculatedColumnFormula>DOC</calculatedColumnFormula>
    </tableColumn>
    <tableColumn id="4" name="SUPPLIER/KM" dataDxfId="72" dataCellStyle="Normal_KOPRA  JUNI  2012 2"/>
    <tableColumn id="5" name="AREA" dataDxfId="71" dataCellStyle="Normal_KOPRA  JUNI  2012 2"/>
    <tableColumn id="6" name="TN" dataDxfId="70" dataCellStyle="Normal_KOPRA  JUNI  2012 2"/>
    <tableColumn id="7" name="BRUTO" dataDxfId="69" dataCellStyle="Comma"/>
    <tableColumn id="8" name="TARRA" dataDxfId="68" dataCellStyle="Comma"/>
    <tableColumn id="11" name="NETTO" dataDxfId="67" dataCellStyle="Comma">
      <calculatedColumnFormula>NET</calculatedColumnFormula>
    </tableColumn>
    <tableColumn id="12" name="TRANSPORT" dataDxfId="66">
      <calculatedColumnFormula>DL</calculatedColumnFormula>
    </tableColumn>
    <tableColumn id="13" name="NO ANTRI" dataDxfId="65"/>
    <tableColumn id="14" name="TGL DTG" dataDxfId="64"/>
    <tableColumn id="15" name="KEEP" dataDxfId="63"/>
    <tableColumn id="16" name="Column1" dataDxfId="6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2" name="DATAKBB" displayName="DATAKBB" ref="B2:P3" insertRow="1" totalsRowShown="0" headerRowDxfId="60" dataDxfId="59">
  <autoFilter ref="B2:P3"/>
  <tableColumns count="15">
    <tableColumn id="9" name="NAMA SUPP" dataDxfId="58">
      <calculatedColumnFormula>SPB</calculatedColumnFormula>
    </tableColumn>
    <tableColumn id="10" name="CEK" dataDxfId="57">
      <calculatedColumnFormula>IF(COUNTIFS($B$3:B3,DATAKBB[[#This Row],[NAMA SUPP]],$E$3:E3,DATAKBB[[#This Row],[TANGGAL]])&lt;&gt;1,0,1)</calculatedColumnFormula>
    </tableColumn>
    <tableColumn id="1" name="NO" dataDxfId="56" dataCellStyle="Normal_KOPRA  JUNI  2012 2">
      <calculatedColumnFormula>NOUR</calculatedColumnFormula>
    </tableColumn>
    <tableColumn id="2" name="TANGGAL" dataDxfId="55"/>
    <tableColumn id="3" name="DOK" dataDxfId="54" dataCellStyle="Normal_KOPRA  JUNI  2012 2">
      <calculatedColumnFormula>DOCKBB</calculatedColumnFormula>
    </tableColumn>
    <tableColumn id="4" name="SUPPLIER/KM" dataDxfId="53" dataCellStyle="Normal_KOPRA  JUNI  2012 2"/>
    <tableColumn id="5" name="AREA" dataDxfId="52" dataCellStyle="Normal_KOPRA  JUNI  2012 2"/>
    <tableColumn id="6" name="TN" dataDxfId="51" dataCellStyle="Normal_KOPRA  JUNI  2012 2"/>
    <tableColumn id="7" name="BRUTO" dataDxfId="50" dataCellStyle="Comma"/>
    <tableColumn id="8" name="TARRA" dataDxfId="49" dataCellStyle="Comma"/>
    <tableColumn id="11" name="NETTO" dataDxfId="48" dataCellStyle="Comma">
      <calculatedColumnFormula>NBB</calculatedColumnFormula>
    </tableColumn>
    <tableColumn id="12" name="TRANSPORT" dataDxfId="47">
      <calculatedColumnFormula>DLB</calculatedColumnFormula>
    </tableColumn>
    <tableColumn id="13" name="NO ANTRI" dataDxfId="46"/>
    <tableColumn id="14" name="TGL DTG" dataDxfId="45"/>
    <tableColumn id="15" name="KEEP" dataDxfId="44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3" name="DATAKBS" displayName="DATAKBS" ref="B2:M3" insertRow="1" totalsRowShown="0" headerRowDxfId="42" dataDxfId="41" headerRowCellStyle="Normal_KPR-FEB_KOPRA  JUNI  2012 2">
  <tableColumns count="12">
    <tableColumn id="9" name="NAMA SUPP" dataDxfId="40">
      <calculatedColumnFormula>IFERROR(LEFT(DATAKBS[[#This Row],[SUPPLIER/KM]],FIND("/",DATAKBS[[#This Row],[SUPPLIER/KM]])-1),DATAKBS[[#This Row],[SUPPLIER/KM]])</calculatedColumnFormula>
    </tableColumn>
    <tableColumn id="10" name="CEK" dataDxfId="39">
      <calculatedColumnFormula>IF(COUNTIFS($B$3:B3,DATAKBS[[#This Row],[NAMA SUPP]],$E$3:E3,DATAKBS[[#This Row],[TANGGAL]])&lt;&gt;1,0,1)</calculatedColumnFormula>
    </tableColumn>
    <tableColumn id="1" name="NO" dataDxfId="38" dataCellStyle="Normal_KOPRA  JUNI  2012 2">
      <calculatedColumnFormula>COUNTIFS($E$3:E3,DATAKBS[[#This Row],[TANGGAL]])</calculatedColumnFormula>
    </tableColumn>
    <tableColumn id="2" name="TANGGAL" dataDxfId="37"/>
    <tableColumn id="3" name="DOK" dataDxfId="36" dataCellStyle="Normal_KOPRA  JUNI  2012 2">
      <calculatedColumnFormula>DOCKBS</calculatedColumnFormula>
    </tableColumn>
    <tableColumn id="4" name="SUPPLIER/KM" dataDxfId="35" dataCellStyle="Normal_KOPRA  JUNI  2012 2"/>
    <tableColumn id="5" name="AREA" dataDxfId="34" dataCellStyle="Normal_KOPRA  JUNI  2012 2"/>
    <tableColumn id="6" name="TN" dataDxfId="33" dataCellStyle="Normal_KOPRA  JUNI  2012 2"/>
    <tableColumn id="7" name="BRUTO" dataDxfId="32" dataCellStyle="Comma"/>
    <tableColumn id="8" name="TARRA" dataDxfId="31" dataCellStyle="Comma"/>
    <tableColumn id="11" name="NETTO" dataDxfId="30" dataCellStyle="Comma">
      <calculatedColumnFormula>DATAKBS[[#This Row],[BRUTO]]-DATAKBS[[#This Row],[TARRA]]</calculatedColumnFormula>
    </tableColumn>
    <tableColumn id="12" name="TRANSPORT" dataDxfId="29">
      <calculatedColumnFormula>IFERROR(IF(FIND("/KM",DATAKBS[[#This Row],[SUPPLIER/KM]])&gt;0,"LAUT"),"DARAT")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4" name="DBLH" displayName="DBLH" ref="B5:Q371" totalsRowCount="1" headerRowDxfId="26" dataDxfId="25" totalsRowDxfId="23" tableBorderDxfId="24" dataCellStyle="Comma">
  <tableColumns count="16">
    <tableColumn id="1" name="no" totalsRowLabel="Total" totalsRowDxfId="22"/>
    <tableColumn id="2" name="tanggal" totalsRowDxfId="21">
      <calculatedColumnFormula>+C5+1</calculatedColumnFormula>
    </tableColumn>
    <tableColumn id="3" name="jdarat" totalsRowFunction="sum" totalsRowDxfId="20" dataCellStyle="Comma">
      <calculatedColumnFormula>JAD</calculatedColumnFormula>
    </tableColumn>
    <tableColumn id="4" name="jlaut" totalsRowFunction="sum" totalsRowDxfId="19" dataCellStyle="Comma">
      <calculatedColumnFormula>JAL</calculatedColumnFormula>
    </tableColumn>
    <tableColumn id="5" name="gdarat" totalsRowFunction="sum" totalsRowDxfId="18" dataCellStyle="Comma"/>
    <tableColumn id="6" name="glaut" totalsRowFunction="sum" totalsRowDxfId="17" dataCellStyle="Comma"/>
    <tableColumn id="7" name="bdarat" totalsRowFunction="sum" totalsRowDxfId="16" dataCellStyle="Comma">
      <calculatedColumnFormula>BD</calculatedColumnFormula>
    </tableColumn>
    <tableColumn id="8" name="blaut" totalsRowFunction="sum" totalsRowDxfId="15" dataCellStyle="Comma">
      <calculatedColumnFormula>BL</calculatedColumnFormula>
    </tableColumn>
    <tableColumn id="9" name="bsdarat" totalsRowFunction="sum" totalsRowDxfId="14" dataCellStyle="Comma">
      <calculatedColumnFormula>BSD</calculatedColumnFormula>
    </tableColumn>
    <tableColumn id="10" name="bslaut" totalsRowFunction="sum" totalsRowDxfId="13" dataCellStyle="Comma">
      <calculatedColumnFormula>BSL</calculatedColumnFormula>
    </tableColumn>
    <tableColumn id="11" name="kkupas" totalsRowFunction="sum" totalsRowDxfId="12" dataCellStyle="Comma"/>
    <tableColumn id="12" name="krdarat" totalsRowFunction="sum" totalsRowDxfId="11" dataCellStyle="Comma"/>
    <tableColumn id="13" name="krlaut" totalsRowFunction="sum" totalsRowDxfId="10" dataCellStyle="Comma"/>
    <tableColumn id="14" name="kmp2" totalsRowFunction="sum" totalsRowDxfId="9" dataCellStyle="Comma"/>
    <tableColumn id="15" name="kbisk" totalsRowFunction="sum" totalsRowDxfId="8" dataCellStyle="Comma"/>
    <tableColumn id="16" name="adm" totalsRowDxfId="7" dataCellStyle="Comma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id="6" name="tblTerbilang" displayName="tblTerbilang" ref="B2:C22" totalsRowShown="0" headerRowDxfId="5" dataDxfId="4">
  <tableColumns count="2">
    <tableColumn id="1" name="Angka        " dataDxfId="3"/>
    <tableColumn id="2" name="Terbilang" dataDxfId="2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1">
    <tabColor theme="3" tint="-0.249977111117893"/>
  </sheetPr>
  <dimension ref="B2:J51"/>
  <sheetViews>
    <sheetView topLeftCell="B25" zoomScale="115" zoomScaleNormal="115" workbookViewId="0">
      <selection activeCell="E10" sqref="E10"/>
    </sheetView>
  </sheetViews>
  <sheetFormatPr defaultRowHeight="15"/>
  <cols>
    <col min="1" max="1" width="3.42578125" style="281" customWidth="1"/>
    <col min="2" max="2" width="8.42578125" style="281" bestFit="1" customWidth="1"/>
    <col min="3" max="3" width="28.7109375" style="281" bestFit="1" customWidth="1"/>
    <col min="4" max="4" width="14.7109375" style="281" bestFit="1" customWidth="1"/>
    <col min="5" max="5" width="9.42578125" style="281" bestFit="1" customWidth="1"/>
    <col min="6" max="6" width="10.7109375" style="281" bestFit="1" customWidth="1"/>
    <col min="7" max="9" width="9.140625" style="281"/>
    <col min="10" max="10" width="19" style="281" customWidth="1"/>
    <col min="11" max="11" width="20.85546875" style="281" customWidth="1"/>
    <col min="12" max="16384" width="9.140625" style="281"/>
  </cols>
  <sheetData>
    <row r="2" spans="2:8" ht="24.75" customHeight="1">
      <c r="B2" s="318" t="s">
        <v>120</v>
      </c>
      <c r="C2" s="319" t="s">
        <v>131</v>
      </c>
      <c r="D2" s="319" t="s">
        <v>132</v>
      </c>
      <c r="E2" s="319" t="s">
        <v>133</v>
      </c>
      <c r="F2" s="319" t="s">
        <v>190</v>
      </c>
      <c r="G2" s="319" t="s">
        <v>217</v>
      </c>
      <c r="H2" s="320" t="s">
        <v>239</v>
      </c>
    </row>
    <row r="3" spans="2:8">
      <c r="B3" s="282">
        <f>IF(ISBLANK(C3),"",COUNTA($C$3:C3))</f>
        <v>1</v>
      </c>
      <c r="C3" s="283" t="s">
        <v>95</v>
      </c>
      <c r="D3" s="284" t="s">
        <v>134</v>
      </c>
      <c r="E3" s="285">
        <v>0</v>
      </c>
      <c r="F3" s="285">
        <v>0</v>
      </c>
      <c r="G3" s="285">
        <v>0</v>
      </c>
      <c r="H3" s="321"/>
    </row>
    <row r="4" spans="2:8">
      <c r="B4" s="282">
        <f>IF(ISBLANK(C4),"",COUNTA($C$3:C4))</f>
        <v>2</v>
      </c>
      <c r="C4" s="283" t="s">
        <v>77</v>
      </c>
      <c r="D4" s="284" t="s">
        <v>136</v>
      </c>
      <c r="E4" s="285">
        <v>0</v>
      </c>
      <c r="F4" s="285">
        <v>0</v>
      </c>
      <c r="G4" s="285">
        <v>0</v>
      </c>
      <c r="H4" s="321"/>
    </row>
    <row r="5" spans="2:8">
      <c r="B5" s="282">
        <f>IF(ISBLANK(C5),"",COUNTA($C$3:C5))</f>
        <v>3</v>
      </c>
      <c r="C5" s="283" t="s">
        <v>138</v>
      </c>
      <c r="D5" s="284" t="s">
        <v>135</v>
      </c>
      <c r="E5" s="285">
        <v>0</v>
      </c>
      <c r="F5" s="285">
        <v>0</v>
      </c>
      <c r="G5" s="285">
        <v>0</v>
      </c>
      <c r="H5" s="321"/>
    </row>
    <row r="6" spans="2:8">
      <c r="B6" s="282">
        <f>IF(ISBLANK(C6),"",COUNTA($C$3:C6))</f>
        <v>4</v>
      </c>
      <c r="C6" s="283" t="s">
        <v>139</v>
      </c>
      <c r="D6" s="284" t="s">
        <v>140</v>
      </c>
      <c r="E6" s="285">
        <v>0</v>
      </c>
      <c r="F6" s="285">
        <v>0</v>
      </c>
      <c r="G6" s="285">
        <v>0</v>
      </c>
      <c r="H6" s="321"/>
    </row>
    <row r="7" spans="2:8">
      <c r="B7" s="282">
        <f>IF(ISBLANK(C7),"",COUNTA($C$3:C7))</f>
        <v>5</v>
      </c>
      <c r="C7" s="283" t="s">
        <v>141</v>
      </c>
      <c r="D7" s="284" t="s">
        <v>142</v>
      </c>
      <c r="E7" s="285">
        <v>0</v>
      </c>
      <c r="F7" s="285">
        <v>0</v>
      </c>
      <c r="G7" s="285">
        <v>0</v>
      </c>
      <c r="H7" s="321"/>
    </row>
    <row r="8" spans="2:8">
      <c r="B8" s="282">
        <f>IF(ISBLANK(C8),"",COUNTA($C$3:C8))</f>
        <v>6</v>
      </c>
      <c r="C8" s="283" t="s">
        <v>143</v>
      </c>
      <c r="D8" s="284" t="s">
        <v>144</v>
      </c>
      <c r="E8" s="285">
        <v>0</v>
      </c>
      <c r="F8" s="285">
        <v>0</v>
      </c>
      <c r="G8" s="285">
        <v>0</v>
      </c>
      <c r="H8" s="321"/>
    </row>
    <row r="9" spans="2:8">
      <c r="B9" s="282">
        <f>IF(ISBLANK(C9),"",COUNTA($C$3:C9))</f>
        <v>7</v>
      </c>
      <c r="C9" s="283" t="s">
        <v>101</v>
      </c>
      <c r="D9" s="284" t="s">
        <v>145</v>
      </c>
      <c r="E9" s="285">
        <v>0</v>
      </c>
      <c r="F9" s="285">
        <v>0</v>
      </c>
      <c r="G9" s="285">
        <v>0</v>
      </c>
      <c r="H9" s="321"/>
    </row>
    <row r="10" spans="2:8">
      <c r="B10" s="282">
        <f>IF(ISBLANK(C10),"",COUNTA($C$3:C10))</f>
        <v>8</v>
      </c>
      <c r="C10" s="283" t="s">
        <v>103</v>
      </c>
      <c r="D10" s="284" t="s">
        <v>146</v>
      </c>
      <c r="E10" s="285">
        <v>0</v>
      </c>
      <c r="F10" s="285">
        <v>0</v>
      </c>
      <c r="G10" s="285">
        <v>0</v>
      </c>
      <c r="H10" s="321"/>
    </row>
    <row r="11" spans="2:8">
      <c r="B11" s="282">
        <f>IF(ISBLANK(C11),"",COUNTA($C$3:C11))</f>
        <v>9</v>
      </c>
      <c r="C11" s="283" t="s">
        <v>96</v>
      </c>
      <c r="D11" s="284" t="s">
        <v>147</v>
      </c>
      <c r="E11" s="285">
        <v>0</v>
      </c>
      <c r="F11" s="285">
        <v>0</v>
      </c>
      <c r="G11" s="285">
        <v>0</v>
      </c>
      <c r="H11" s="321"/>
    </row>
    <row r="12" spans="2:8">
      <c r="B12" s="282">
        <f>IF(ISBLANK(C12),"",COUNTA($C$3:C12))</f>
        <v>10</v>
      </c>
      <c r="C12" s="283" t="s">
        <v>148</v>
      </c>
      <c r="D12" s="286" t="s">
        <v>149</v>
      </c>
      <c r="E12" s="285">
        <v>0</v>
      </c>
      <c r="F12" s="285">
        <v>0</v>
      </c>
      <c r="G12" s="285">
        <v>0</v>
      </c>
      <c r="H12" s="321"/>
    </row>
    <row r="13" spans="2:8">
      <c r="B13" s="282">
        <f>IF(ISBLANK(C13),"",COUNTA($C$3:C13))</f>
        <v>11</v>
      </c>
      <c r="C13" s="283" t="s">
        <v>150</v>
      </c>
      <c r="D13" s="284" t="s">
        <v>135</v>
      </c>
      <c r="E13" s="285">
        <v>0</v>
      </c>
      <c r="F13" s="285">
        <v>0</v>
      </c>
      <c r="G13" s="285">
        <v>0</v>
      </c>
      <c r="H13" s="321">
        <f>49+15+2</f>
        <v>66</v>
      </c>
    </row>
    <row r="14" spans="2:8">
      <c r="B14" s="282">
        <f>IF(ISBLANK(C14),"",COUNTA($C$3:C14))</f>
        <v>12</v>
      </c>
      <c r="C14" s="322" t="s">
        <v>220</v>
      </c>
      <c r="D14" s="323" t="s">
        <v>147</v>
      </c>
      <c r="E14" s="285">
        <v>0</v>
      </c>
      <c r="F14" s="285">
        <v>0</v>
      </c>
      <c r="G14" s="285">
        <v>0</v>
      </c>
      <c r="H14" s="321"/>
    </row>
    <row r="15" spans="2:8">
      <c r="B15" s="282">
        <f>IF(ISBLANK(C15),"",COUNTA($C$3:C15))</f>
        <v>13</v>
      </c>
      <c r="C15" s="283" t="s">
        <v>151</v>
      </c>
      <c r="D15" s="284" t="s">
        <v>152</v>
      </c>
      <c r="E15" s="285">
        <v>0</v>
      </c>
      <c r="F15" s="285">
        <v>0</v>
      </c>
      <c r="G15" s="285">
        <v>0</v>
      </c>
      <c r="H15" s="321"/>
    </row>
    <row r="16" spans="2:8">
      <c r="B16" s="282">
        <f>IF(ISBLANK(C16),"",COUNTA($C$3:C16))</f>
        <v>14</v>
      </c>
      <c r="C16" s="283" t="s">
        <v>153</v>
      </c>
      <c r="D16" s="284" t="s">
        <v>154</v>
      </c>
      <c r="E16" s="285">
        <v>0</v>
      </c>
      <c r="F16" s="285">
        <v>0</v>
      </c>
      <c r="G16" s="285">
        <v>0</v>
      </c>
      <c r="H16" s="321"/>
    </row>
    <row r="17" spans="2:8">
      <c r="B17" s="282">
        <f>IF(ISBLANK(C17),"",COUNTA($C$3:C17))</f>
        <v>15</v>
      </c>
      <c r="C17" s="283" t="s">
        <v>155</v>
      </c>
      <c r="D17" s="284" t="s">
        <v>156</v>
      </c>
      <c r="E17" s="285">
        <v>0</v>
      </c>
      <c r="F17" s="285">
        <v>0</v>
      </c>
      <c r="G17" s="285">
        <v>0</v>
      </c>
      <c r="H17" s="321"/>
    </row>
    <row r="18" spans="2:8">
      <c r="B18" s="282">
        <f>IF(ISBLANK(C18),"",COUNTA($C$3:C18))</f>
        <v>16</v>
      </c>
      <c r="C18" s="283" t="s">
        <v>157</v>
      </c>
      <c r="D18" s="284" t="s">
        <v>134</v>
      </c>
      <c r="E18" s="285">
        <v>0</v>
      </c>
      <c r="F18" s="285">
        <v>0</v>
      </c>
      <c r="G18" s="285">
        <v>0</v>
      </c>
      <c r="H18" s="321"/>
    </row>
    <row r="19" spans="2:8">
      <c r="B19" s="282">
        <f>IF(ISBLANK(C19),"",COUNTA($C$3:C19))</f>
        <v>17</v>
      </c>
      <c r="C19" s="283" t="s">
        <v>188</v>
      </c>
      <c r="D19" s="284" t="s">
        <v>146</v>
      </c>
      <c r="E19" s="285">
        <v>0</v>
      </c>
      <c r="F19" s="285">
        <v>0</v>
      </c>
      <c r="G19" s="285">
        <v>0</v>
      </c>
      <c r="H19" s="321"/>
    </row>
    <row r="20" spans="2:8">
      <c r="B20" s="282">
        <f>IF(ISBLANK(C20),"",COUNTA($C$3:C20))</f>
        <v>18</v>
      </c>
      <c r="C20" s="283" t="s">
        <v>158</v>
      </c>
      <c r="D20" s="284" t="s">
        <v>146</v>
      </c>
      <c r="E20" s="285">
        <v>0</v>
      </c>
      <c r="F20" s="285">
        <v>0</v>
      </c>
      <c r="G20" s="285">
        <v>0</v>
      </c>
      <c r="H20" s="321"/>
    </row>
    <row r="21" spans="2:8">
      <c r="B21" s="282">
        <f>IF(ISBLANK(C21),"",COUNTA($C$3:C21))</f>
        <v>19</v>
      </c>
      <c r="C21" s="283" t="s">
        <v>159</v>
      </c>
      <c r="D21" s="284" t="s">
        <v>144</v>
      </c>
      <c r="E21" s="285">
        <v>0</v>
      </c>
      <c r="F21" s="285">
        <v>0</v>
      </c>
      <c r="G21" s="285">
        <v>0</v>
      </c>
      <c r="H21" s="321"/>
    </row>
    <row r="22" spans="2:8">
      <c r="B22" s="282">
        <f>IF(ISBLANK(C22),"",COUNTA($C$3:C22))</f>
        <v>20</v>
      </c>
      <c r="C22" s="283" t="s">
        <v>99</v>
      </c>
      <c r="D22" s="284" t="s">
        <v>147</v>
      </c>
      <c r="E22" s="285">
        <v>0</v>
      </c>
      <c r="F22" s="285">
        <v>0</v>
      </c>
      <c r="G22" s="285">
        <v>0</v>
      </c>
      <c r="H22" s="321"/>
    </row>
    <row r="23" spans="2:8">
      <c r="B23" s="282">
        <f>IF(ISBLANK(C23),"",COUNTA($C$3:C23))</f>
        <v>21</v>
      </c>
      <c r="C23" s="283" t="s">
        <v>160</v>
      </c>
      <c r="D23" s="284" t="s">
        <v>161</v>
      </c>
      <c r="E23" s="285">
        <v>0</v>
      </c>
      <c r="F23" s="285">
        <v>0</v>
      </c>
      <c r="G23" s="285">
        <v>0</v>
      </c>
      <c r="H23" s="321"/>
    </row>
    <row r="24" spans="2:8">
      <c r="B24" s="282">
        <f>IF(ISBLANK(C24),"",COUNTA($C$3:C24))</f>
        <v>22</v>
      </c>
      <c r="C24" s="283" t="s">
        <v>162</v>
      </c>
      <c r="D24" s="284" t="s">
        <v>163</v>
      </c>
      <c r="E24" s="285">
        <v>0</v>
      </c>
      <c r="F24" s="285">
        <v>0</v>
      </c>
      <c r="G24" s="285">
        <v>0</v>
      </c>
      <c r="H24" s="321"/>
    </row>
    <row r="25" spans="2:8">
      <c r="B25" s="282">
        <f>IF(ISBLANK(C25),"",COUNTA($C$3:C25))</f>
        <v>23</v>
      </c>
      <c r="C25" s="283" t="s">
        <v>164</v>
      </c>
      <c r="D25" s="284" t="s">
        <v>165</v>
      </c>
      <c r="E25" s="285">
        <v>0</v>
      </c>
      <c r="F25" s="285">
        <v>0</v>
      </c>
      <c r="G25" s="285">
        <v>0</v>
      </c>
      <c r="H25" s="321"/>
    </row>
    <row r="26" spans="2:8">
      <c r="B26" s="282">
        <f>IF(ISBLANK(C26),"",COUNTA($C$3:C26))</f>
        <v>24</v>
      </c>
      <c r="C26" s="283" t="s">
        <v>166</v>
      </c>
      <c r="D26" s="284" t="s">
        <v>167</v>
      </c>
      <c r="E26" s="285">
        <v>0</v>
      </c>
      <c r="F26" s="285">
        <v>0</v>
      </c>
      <c r="G26" s="285">
        <v>0</v>
      </c>
      <c r="H26" s="321"/>
    </row>
    <row r="27" spans="2:8">
      <c r="B27" s="282">
        <f>IF(ISBLANK(C27),"",COUNTA($C$3:C27))</f>
        <v>25</v>
      </c>
      <c r="C27" s="283" t="s">
        <v>98</v>
      </c>
      <c r="D27" s="284" t="s">
        <v>168</v>
      </c>
      <c r="E27" s="285">
        <v>0</v>
      </c>
      <c r="F27" s="285">
        <v>0</v>
      </c>
      <c r="G27" s="285">
        <v>0</v>
      </c>
      <c r="H27" s="321"/>
    </row>
    <row r="28" spans="2:8">
      <c r="B28" s="282">
        <f>IF(ISBLANK(C28),"",COUNTA($C$3:C28))</f>
        <v>26</v>
      </c>
      <c r="C28" s="283" t="s">
        <v>169</v>
      </c>
      <c r="D28" s="284" t="s">
        <v>147</v>
      </c>
      <c r="E28" s="285">
        <v>0</v>
      </c>
      <c r="F28" s="285">
        <v>0</v>
      </c>
      <c r="G28" s="285">
        <v>0</v>
      </c>
      <c r="H28" s="321"/>
    </row>
    <row r="29" spans="2:8">
      <c r="B29" s="282">
        <f>IF(ISBLANK(C29),"",COUNTA($C$3:C29))</f>
        <v>27</v>
      </c>
      <c r="C29" s="283" t="s">
        <v>97</v>
      </c>
      <c r="D29" s="284" t="s">
        <v>135</v>
      </c>
      <c r="E29" s="285">
        <v>0</v>
      </c>
      <c r="F29" s="285">
        <v>0</v>
      </c>
      <c r="G29" s="285">
        <v>0</v>
      </c>
      <c r="H29" s="321"/>
    </row>
    <row r="30" spans="2:8">
      <c r="B30" s="282">
        <f>IF(ISBLANK(C30),"",COUNTA($C$3:C30))</f>
        <v>28</v>
      </c>
      <c r="C30" s="287" t="s">
        <v>170</v>
      </c>
      <c r="D30" s="284" t="s">
        <v>152</v>
      </c>
      <c r="E30" s="285">
        <v>0</v>
      </c>
      <c r="F30" s="285">
        <v>0</v>
      </c>
      <c r="G30" s="285">
        <v>0</v>
      </c>
      <c r="H30" s="321"/>
    </row>
    <row r="31" spans="2:8">
      <c r="B31" s="282">
        <f>IF(ISBLANK(C31),"",COUNTA($C$3:C31))</f>
        <v>29</v>
      </c>
      <c r="C31" s="283" t="s">
        <v>171</v>
      </c>
      <c r="D31" s="284" t="s">
        <v>135</v>
      </c>
      <c r="E31" s="285">
        <v>0</v>
      </c>
      <c r="F31" s="285">
        <v>0</v>
      </c>
      <c r="G31" s="285">
        <v>0</v>
      </c>
      <c r="H31" s="321"/>
    </row>
    <row r="32" spans="2:8">
      <c r="B32" s="282">
        <f>IF(ISBLANK(C32),"",COUNTA($C$3:C32))</f>
        <v>30</v>
      </c>
      <c r="C32" s="283" t="s">
        <v>172</v>
      </c>
      <c r="D32" s="284" t="s">
        <v>173</v>
      </c>
      <c r="E32" s="285">
        <v>0</v>
      </c>
      <c r="F32" s="285">
        <v>0</v>
      </c>
      <c r="G32" s="285">
        <v>0</v>
      </c>
      <c r="H32" s="321"/>
    </row>
    <row r="33" spans="2:8">
      <c r="B33" s="282">
        <f>IF(ISBLANK(C33),"",COUNTA($C$3:C33))</f>
        <v>31</v>
      </c>
      <c r="C33" s="283" t="s">
        <v>174</v>
      </c>
      <c r="D33" s="284" t="s">
        <v>168</v>
      </c>
      <c r="E33" s="285">
        <v>0</v>
      </c>
      <c r="F33" s="285">
        <v>0</v>
      </c>
      <c r="G33" s="285">
        <v>0</v>
      </c>
      <c r="H33" s="321"/>
    </row>
    <row r="34" spans="2:8">
      <c r="B34" s="282">
        <f>IF(ISBLANK(C34),"",COUNTA($C$3:C34))</f>
        <v>32</v>
      </c>
      <c r="C34" s="283" t="s">
        <v>175</v>
      </c>
      <c r="D34" s="284" t="s">
        <v>176</v>
      </c>
      <c r="E34" s="285">
        <v>0</v>
      </c>
      <c r="F34" s="285">
        <v>0</v>
      </c>
      <c r="G34" s="285">
        <v>0</v>
      </c>
      <c r="H34" s="321"/>
    </row>
    <row r="35" spans="2:8">
      <c r="B35" s="282">
        <f>IF(ISBLANK(C35),"",COUNTA($C$3:C35))</f>
        <v>33</v>
      </c>
      <c r="C35" s="283" t="s">
        <v>177</v>
      </c>
      <c r="D35" s="284" t="s">
        <v>178</v>
      </c>
      <c r="E35" s="285">
        <v>0</v>
      </c>
      <c r="F35" s="285">
        <v>0</v>
      </c>
      <c r="G35" s="285">
        <v>0</v>
      </c>
      <c r="H35" s="321"/>
    </row>
    <row r="36" spans="2:8">
      <c r="B36" s="282">
        <f>IF(ISBLANK(C36),"",COUNTA($C$3:C36))</f>
        <v>34</v>
      </c>
      <c r="C36" s="288" t="s">
        <v>219</v>
      </c>
      <c r="D36" s="293" t="s">
        <v>147</v>
      </c>
      <c r="E36" s="285">
        <v>0</v>
      </c>
      <c r="F36" s="285">
        <v>0</v>
      </c>
      <c r="G36" s="285">
        <v>0</v>
      </c>
      <c r="H36" s="321"/>
    </row>
    <row r="37" spans="2:8">
      <c r="B37" s="282">
        <f>IF(ISBLANK(C37),"",COUNTA($C$3:C37))</f>
        <v>35</v>
      </c>
      <c r="C37" s="283" t="s">
        <v>179</v>
      </c>
      <c r="D37" s="284" t="s">
        <v>165</v>
      </c>
      <c r="E37" s="285">
        <v>0</v>
      </c>
      <c r="F37" s="285">
        <v>0</v>
      </c>
      <c r="G37" s="285">
        <v>0</v>
      </c>
      <c r="H37" s="321"/>
    </row>
    <row r="38" spans="2:8">
      <c r="B38" s="282">
        <f>IF(ISBLANK(C38),"",COUNTA($C$3:C38))</f>
        <v>36</v>
      </c>
      <c r="C38" s="283" t="s">
        <v>180</v>
      </c>
      <c r="D38" s="284" t="s">
        <v>168</v>
      </c>
      <c r="E38" s="285">
        <v>0</v>
      </c>
      <c r="F38" s="285">
        <v>0</v>
      </c>
      <c r="G38" s="285">
        <v>0</v>
      </c>
      <c r="H38" s="321"/>
    </row>
    <row r="39" spans="2:8">
      <c r="B39" s="282">
        <f>IF(ISBLANK(C39),"",COUNTA($C$3:C39))</f>
        <v>37</v>
      </c>
      <c r="C39" s="283" t="s">
        <v>78</v>
      </c>
      <c r="D39" s="284" t="s">
        <v>181</v>
      </c>
      <c r="E39" s="285">
        <v>0</v>
      </c>
      <c r="F39" s="285">
        <v>0</v>
      </c>
      <c r="G39" s="285">
        <v>0</v>
      </c>
      <c r="H39" s="321"/>
    </row>
    <row r="40" spans="2:8">
      <c r="B40" s="282">
        <f>IF(ISBLANK(C40),"",COUNTA($C$3:C40))</f>
        <v>38</v>
      </c>
      <c r="C40" s="283" t="s">
        <v>105</v>
      </c>
      <c r="D40" s="284" t="s">
        <v>146</v>
      </c>
      <c r="E40" s="285">
        <v>0</v>
      </c>
      <c r="F40" s="285">
        <v>0</v>
      </c>
      <c r="G40" s="285">
        <v>0</v>
      </c>
      <c r="H40" s="321"/>
    </row>
    <row r="41" spans="2:8">
      <c r="B41" s="282">
        <f>IF(ISBLANK(C41),"",COUNTA($C$3:C41))</f>
        <v>39</v>
      </c>
      <c r="C41" s="283" t="s">
        <v>182</v>
      </c>
      <c r="D41" s="284" t="s">
        <v>135</v>
      </c>
      <c r="E41" s="285">
        <v>0</v>
      </c>
      <c r="F41" s="285">
        <v>0</v>
      </c>
      <c r="G41" s="285">
        <v>0</v>
      </c>
      <c r="H41" s="321"/>
    </row>
    <row r="42" spans="2:8">
      <c r="B42" s="282">
        <f>IF(ISBLANK(C42),"",COUNTA($C$3:C42))</f>
        <v>40</v>
      </c>
      <c r="C42" s="283" t="s">
        <v>100</v>
      </c>
      <c r="D42" s="284" t="s">
        <v>183</v>
      </c>
      <c r="E42" s="285">
        <v>0</v>
      </c>
      <c r="F42" s="285">
        <v>0</v>
      </c>
      <c r="G42" s="285">
        <v>0</v>
      </c>
      <c r="H42" s="321"/>
    </row>
    <row r="43" spans="2:8">
      <c r="B43" s="282">
        <f>IF(ISBLANK(C43),"",COUNTA($C$3:C43))</f>
        <v>41</v>
      </c>
      <c r="C43" s="283" t="s">
        <v>184</v>
      </c>
      <c r="D43" s="284" t="s">
        <v>185</v>
      </c>
      <c r="E43" s="285">
        <v>0</v>
      </c>
      <c r="F43" s="285">
        <v>0</v>
      </c>
      <c r="G43" s="285">
        <v>0</v>
      </c>
      <c r="H43" s="321"/>
    </row>
    <row r="44" spans="2:8">
      <c r="B44" s="282">
        <f>IF(ISBLANK(C44),"",COUNTA($C$3:C44))</f>
        <v>42</v>
      </c>
      <c r="C44" s="283" t="s">
        <v>137</v>
      </c>
      <c r="D44" s="284" t="s">
        <v>136</v>
      </c>
      <c r="E44" s="285">
        <v>0</v>
      </c>
      <c r="F44" s="285">
        <v>0</v>
      </c>
      <c r="G44" s="285">
        <v>0</v>
      </c>
      <c r="H44" s="321"/>
    </row>
    <row r="45" spans="2:8">
      <c r="B45" s="282">
        <f>IF(ISBLANK(C45),"",COUNTA($C$3:C45))</f>
        <v>43</v>
      </c>
      <c r="C45" s="283" t="s">
        <v>186</v>
      </c>
      <c r="D45" s="284" t="s">
        <v>187</v>
      </c>
      <c r="E45" s="285">
        <v>0</v>
      </c>
      <c r="F45" s="285">
        <v>0</v>
      </c>
      <c r="G45" s="285">
        <v>0</v>
      </c>
      <c r="H45" s="321"/>
    </row>
    <row r="46" spans="2:8">
      <c r="B46" s="282">
        <f>IF(ISBLANK(C46),"",COUNTA($C$3:C46))</f>
        <v>44</v>
      </c>
      <c r="C46" s="289" t="s">
        <v>224</v>
      </c>
      <c r="D46" s="290" t="s">
        <v>135</v>
      </c>
      <c r="E46" s="285">
        <v>0</v>
      </c>
      <c r="F46" s="285">
        <v>0</v>
      </c>
      <c r="G46" s="285">
        <v>0</v>
      </c>
      <c r="H46" s="321"/>
    </row>
    <row r="47" spans="2:8">
      <c r="B47" s="282">
        <f>IF(ISBLANK(C47),"",COUNTA($C$3:C47))</f>
        <v>45</v>
      </c>
      <c r="C47" s="324" t="s">
        <v>225</v>
      </c>
      <c r="D47" s="325" t="s">
        <v>226</v>
      </c>
      <c r="E47" s="285">
        <v>0</v>
      </c>
      <c r="F47" s="285">
        <v>0</v>
      </c>
      <c r="G47" s="285">
        <v>0</v>
      </c>
      <c r="H47" s="321"/>
    </row>
    <row r="48" spans="2:8">
      <c r="B48" s="326">
        <f>IF(ISBLANK(C48),"",COUNTA($C$3:C48))</f>
        <v>46</v>
      </c>
      <c r="C48" s="336" t="s">
        <v>230</v>
      </c>
      <c r="D48" s="327" t="s">
        <v>135</v>
      </c>
      <c r="E48" s="285">
        <v>0</v>
      </c>
      <c r="F48" s="285">
        <v>0</v>
      </c>
      <c r="G48" s="285">
        <v>0</v>
      </c>
      <c r="H48" s="321"/>
    </row>
    <row r="49" spans="2:10">
      <c r="B49" s="328">
        <f>IF(ISBLANK(C49),"",COUNTA($C$3:C49))</f>
        <v>47</v>
      </c>
      <c r="C49" s="329" t="s">
        <v>236</v>
      </c>
      <c r="D49" s="330" t="s">
        <v>235</v>
      </c>
      <c r="E49" s="285">
        <v>0</v>
      </c>
      <c r="F49" s="285">
        <v>0</v>
      </c>
      <c r="G49" s="285">
        <v>0</v>
      </c>
      <c r="H49" s="321"/>
    </row>
    <row r="50" spans="2:10">
      <c r="B50" s="331">
        <f>IF(ISBLANK(C50),"",COUNTA($C$3:C50))</f>
        <v>48</v>
      </c>
      <c r="C50" s="332" t="s">
        <v>237</v>
      </c>
      <c r="D50" s="333" t="s">
        <v>238</v>
      </c>
      <c r="E50" s="285">
        <v>0</v>
      </c>
      <c r="F50" s="285">
        <v>0</v>
      </c>
      <c r="G50" s="285">
        <v>0</v>
      </c>
      <c r="H50" s="321"/>
    </row>
    <row r="51" spans="2:10">
      <c r="B51" s="501">
        <f>IF(ISBLANK(C51),"",COUNTA($C$3:C51))</f>
        <v>49</v>
      </c>
      <c r="C51" s="502" t="s">
        <v>412</v>
      </c>
      <c r="D51" s="541" t="s">
        <v>406</v>
      </c>
      <c r="E51" s="503">
        <v>0</v>
      </c>
      <c r="F51" s="503">
        <v>0</v>
      </c>
      <c r="G51" s="503">
        <v>0</v>
      </c>
      <c r="H51" s="501"/>
      <c r="J51" s="504" t="s">
        <v>422</v>
      </c>
    </row>
  </sheetData>
  <conditionalFormatting sqref="C37">
    <cfRule type="duplicateValues" dxfId="111" priority="37"/>
    <cfRule type="duplicateValues" dxfId="110" priority="38"/>
  </conditionalFormatting>
  <conditionalFormatting sqref="C38:C39">
    <cfRule type="duplicateValues" dxfId="109" priority="34"/>
    <cfRule type="duplicateValues" dxfId="108" priority="35"/>
  </conditionalFormatting>
  <conditionalFormatting sqref="C47">
    <cfRule type="duplicateValues" dxfId="107" priority="22"/>
    <cfRule type="duplicateValues" dxfId="106" priority="23"/>
  </conditionalFormatting>
  <conditionalFormatting sqref="C46">
    <cfRule type="duplicateValues" dxfId="105" priority="20"/>
    <cfRule type="duplicateValues" dxfId="104" priority="21"/>
  </conditionalFormatting>
  <conditionalFormatting sqref="C43:C47">
    <cfRule type="duplicateValues" dxfId="103" priority="18"/>
    <cfRule type="duplicateValues" dxfId="102" priority="19"/>
  </conditionalFormatting>
  <conditionalFormatting sqref="C41">
    <cfRule type="duplicateValues" dxfId="101" priority="16"/>
    <cfRule type="duplicateValues" dxfId="100" priority="17"/>
  </conditionalFormatting>
  <conditionalFormatting sqref="C42:C47">
    <cfRule type="duplicateValues" dxfId="99" priority="8"/>
    <cfRule type="duplicateValues" dxfId="98" priority="9"/>
  </conditionalFormatting>
  <conditionalFormatting sqref="C3:C51">
    <cfRule type="duplicateValues" dxfId="97" priority="6"/>
    <cfRule type="duplicateValues" dxfId="96" priority="7"/>
  </conditionalFormatting>
  <conditionalFormatting sqref="C44:C45">
    <cfRule type="duplicateValues" dxfId="95" priority="3"/>
    <cfRule type="duplicateValues" dxfId="94" priority="4"/>
  </conditionalFormatting>
  <conditionalFormatting sqref="D1:F1 C1:C1048576">
    <cfRule type="duplicateValues" dxfId="93" priority="43"/>
  </conditionalFormatting>
  <conditionalFormatting sqref="C51">
    <cfRule type="duplicateValues" dxfId="92" priority="1"/>
    <cfRule type="duplicateValues" dxfId="91" priority="2"/>
  </conditionalFormatting>
  <pageMargins left="0.7" right="0.7" top="0.75" bottom="0.75" header="0.3" footer="0.3"/>
  <pageSetup scale="85" orientation="landscape" horizontalDpi="180" verticalDpi="18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C00000"/>
  </sheetPr>
  <dimension ref="B1:Q674"/>
  <sheetViews>
    <sheetView workbookViewId="0">
      <pane xSplit="2" ySplit="2" topLeftCell="C666" activePane="bottomRight" state="frozen"/>
      <selection pane="topRight" activeCell="C1" sqref="C1"/>
      <selection pane="bottomLeft" activeCell="A3" sqref="A3"/>
      <selection pane="bottomRight" activeCell="F661" sqref="F661"/>
    </sheetView>
  </sheetViews>
  <sheetFormatPr defaultRowHeight="12.75"/>
  <cols>
    <col min="1" max="1" width="3.7109375" style="205" customWidth="1"/>
    <col min="2" max="2" width="30.5703125" style="205" bestFit="1" customWidth="1"/>
    <col min="3" max="3" width="5.140625" style="205" customWidth="1"/>
    <col min="4" max="4" width="4.7109375" style="223" bestFit="1" customWidth="1"/>
    <col min="5" max="5" width="13.5703125" style="205" bestFit="1" customWidth="1"/>
    <col min="6" max="6" width="5.85546875" style="205" bestFit="1" customWidth="1"/>
    <col min="7" max="7" width="56.7109375" style="205" bestFit="1" customWidth="1"/>
    <col min="8" max="8" width="11" style="205" bestFit="1" customWidth="1"/>
    <col min="9" max="9" width="4.42578125" style="205" customWidth="1"/>
    <col min="10" max="11" width="11.7109375" style="205" bestFit="1" customWidth="1"/>
    <col min="12" max="12" width="11.5703125" style="205" bestFit="1" customWidth="1"/>
    <col min="13" max="13" width="9.140625" style="223"/>
    <col min="14" max="14" width="11.42578125" style="205" bestFit="1" customWidth="1"/>
    <col min="15" max="15" width="11.7109375" style="205" customWidth="1"/>
    <col min="16" max="16384" width="9.140625" style="205"/>
  </cols>
  <sheetData>
    <row r="1" spans="2:17">
      <c r="M1" s="205"/>
    </row>
    <row r="2" spans="2:17" ht="41.25" customHeight="1">
      <c r="B2" s="217" t="s">
        <v>197</v>
      </c>
      <c r="C2" s="217" t="s">
        <v>191</v>
      </c>
      <c r="D2" s="217" t="s">
        <v>120</v>
      </c>
      <c r="E2" s="218" t="s">
        <v>121</v>
      </c>
      <c r="F2" s="217" t="s">
        <v>189</v>
      </c>
      <c r="G2" s="218" t="s">
        <v>198</v>
      </c>
      <c r="H2" s="218" t="s">
        <v>192</v>
      </c>
      <c r="I2" s="218" t="s">
        <v>193</v>
      </c>
      <c r="J2" s="218" t="s">
        <v>194</v>
      </c>
      <c r="K2" s="218" t="s">
        <v>195</v>
      </c>
      <c r="L2" s="217" t="s">
        <v>196</v>
      </c>
      <c r="M2" s="227" t="s">
        <v>201</v>
      </c>
      <c r="N2" s="265" t="s">
        <v>221</v>
      </c>
      <c r="O2" s="265" t="s">
        <v>222</v>
      </c>
      <c r="P2" s="265" t="s">
        <v>223</v>
      </c>
      <c r="Q2" s="294" t="s">
        <v>239</v>
      </c>
    </row>
    <row r="3" spans="2:17" ht="16.5" customHeight="1">
      <c r="B3" s="337" t="str">
        <f ca="1">SUPPAJA</f>
        <v>ERAWATI</v>
      </c>
      <c r="C3" s="338">
        <f ca="1">IF(COUNTIFS($B$3:B3,DATAKBA[[#This Row],[NAMA SUPP]],$E$3:E3,DATAKBA[[#This Row],[TANGGAL]])&lt;&gt;1,0,1)</f>
        <v>1</v>
      </c>
      <c r="D3" s="211">
        <f t="shared" ref="D3:D10" si="0">COUNTER_RUDI</f>
        <v>1</v>
      </c>
      <c r="E3" s="339">
        <v>43832</v>
      </c>
      <c r="F3" s="340" t="str">
        <f ca="1">DOC</f>
        <v>001</v>
      </c>
      <c r="G3" s="341" t="s">
        <v>252</v>
      </c>
      <c r="H3" s="342" t="s">
        <v>253</v>
      </c>
      <c r="I3" s="343">
        <v>1</v>
      </c>
      <c r="J3" s="344">
        <v>8880</v>
      </c>
      <c r="K3" s="344">
        <v>3920</v>
      </c>
      <c r="L3" s="345">
        <f ca="1">NET</f>
        <v>4960</v>
      </c>
      <c r="M3" s="222" t="str">
        <f ca="1">DL</f>
        <v>LAUT</v>
      </c>
      <c r="O3" s="206"/>
      <c r="Q3" s="346"/>
    </row>
    <row r="4" spans="2:17" ht="15">
      <c r="B4" s="337" t="str">
        <f ca="1">SUPPAJA</f>
        <v>HENDRI</v>
      </c>
      <c r="C4" s="338">
        <f ca="1">IF(COUNTIFS($B$3:B4,DATAKBA[[#This Row],[NAMA SUPP]],$E$3:E4,DATAKBA[[#This Row],[TANGGAL]])&lt;&gt;1,0,1)</f>
        <v>1</v>
      </c>
      <c r="D4" s="222">
        <f t="shared" si="0"/>
        <v>2</v>
      </c>
      <c r="E4" s="339">
        <v>43832</v>
      </c>
      <c r="F4" s="340" t="str">
        <f ca="1">DOC</f>
        <v>001</v>
      </c>
      <c r="G4" s="341" t="s">
        <v>254</v>
      </c>
      <c r="H4" s="342" t="s">
        <v>255</v>
      </c>
      <c r="I4" s="343">
        <v>6</v>
      </c>
      <c r="J4" s="344">
        <v>47030</v>
      </c>
      <c r="K4" s="344">
        <v>23480</v>
      </c>
      <c r="L4" s="345">
        <f ca="1">NET</f>
        <v>23550</v>
      </c>
      <c r="M4" s="222" t="str">
        <f ca="1">DL</f>
        <v>LAUT</v>
      </c>
      <c r="Q4" s="346"/>
    </row>
    <row r="5" spans="2:17" ht="15">
      <c r="B5" s="337" t="str">
        <f ca="1">SUPPAJA</f>
        <v>MARTONO</v>
      </c>
      <c r="C5" s="338">
        <f ca="1">IF(COUNTIFS($B$3:B5,DATAKBA[[#This Row],[NAMA SUPP]],$E$3:E5,DATAKBA[[#This Row],[TANGGAL]])&lt;&gt;1,0,1)</f>
        <v>1</v>
      </c>
      <c r="D5" s="222">
        <f t="shared" si="0"/>
        <v>3</v>
      </c>
      <c r="E5" s="339">
        <v>43832</v>
      </c>
      <c r="F5" s="340" t="str">
        <f ca="1">DOC</f>
        <v>001</v>
      </c>
      <c r="G5" s="341" t="s">
        <v>256</v>
      </c>
      <c r="H5" s="342" t="s">
        <v>257</v>
      </c>
      <c r="I5" s="343">
        <v>2</v>
      </c>
      <c r="J5" s="344">
        <v>13410</v>
      </c>
      <c r="K5" s="344">
        <v>7740</v>
      </c>
      <c r="L5" s="345">
        <f ca="1">NET</f>
        <v>5670</v>
      </c>
      <c r="M5" s="222" t="str">
        <f ca="1">DL</f>
        <v>LAUT</v>
      </c>
      <c r="Q5" s="346"/>
    </row>
    <row r="6" spans="2:17" ht="15">
      <c r="B6" s="337" t="str">
        <f ca="1">SUPPAJA</f>
        <v>MARTONO</v>
      </c>
      <c r="C6" s="338">
        <f ca="1">IF(COUNTIFS($B$3:B6,DATAKBA[[#This Row],[NAMA SUPP]],$E$3:E6,DATAKBA[[#This Row],[TANGGAL]])&lt;&gt;1,0,1)</f>
        <v>0</v>
      </c>
      <c r="D6" s="222">
        <f t="shared" si="0"/>
        <v>4</v>
      </c>
      <c r="E6" s="339">
        <v>43832</v>
      </c>
      <c r="F6" s="340" t="str">
        <f ca="1">DOC</f>
        <v/>
      </c>
      <c r="G6" s="341" t="s">
        <v>258</v>
      </c>
      <c r="H6" s="342" t="s">
        <v>257</v>
      </c>
      <c r="I6" s="343">
        <v>1</v>
      </c>
      <c r="J6" s="344">
        <v>7340</v>
      </c>
      <c r="K6" s="344">
        <v>3890</v>
      </c>
      <c r="L6" s="345">
        <f ca="1">NET</f>
        <v>3450</v>
      </c>
      <c r="M6" s="222" t="str">
        <f ca="1">DL</f>
        <v>LAUT</v>
      </c>
      <c r="Q6" s="346"/>
    </row>
    <row r="7" spans="2:17" ht="15">
      <c r="B7" s="337" t="str">
        <f ca="1">SUPPAJA</f>
        <v>MASRI</v>
      </c>
      <c r="C7" s="338">
        <f ca="1">IF(COUNTIFS($B$3:B7,DATAKBA[[#This Row],[NAMA SUPP]],$E$3:E7,DATAKBA[[#This Row],[TANGGAL]])&lt;&gt;1,0,1)</f>
        <v>1</v>
      </c>
      <c r="D7" s="222">
        <f t="shared" si="0"/>
        <v>5</v>
      </c>
      <c r="E7" s="339">
        <v>43832</v>
      </c>
      <c r="F7" s="340" t="str">
        <f ca="1">DOC</f>
        <v>001</v>
      </c>
      <c r="G7" s="341" t="s">
        <v>259</v>
      </c>
      <c r="H7" s="342" t="s">
        <v>260</v>
      </c>
      <c r="I7" s="343">
        <v>15</v>
      </c>
      <c r="J7" s="344">
        <v>123710</v>
      </c>
      <c r="K7" s="344">
        <v>58850</v>
      </c>
      <c r="L7" s="345">
        <f ca="1">NET</f>
        <v>64860</v>
      </c>
      <c r="M7" s="222" t="str">
        <f ca="1">DL</f>
        <v>LAUT</v>
      </c>
      <c r="Q7" s="346"/>
    </row>
    <row r="8" spans="2:17" ht="15">
      <c r="B8" s="337" t="str">
        <f ca="1">SUPPAJA</f>
        <v>PT.SINAR KELAPA TEMBILAHAN</v>
      </c>
      <c r="C8" s="338">
        <f ca="1">IF(COUNTIFS($B$3:B8,DATAKBA[[#This Row],[NAMA SUPP]],$E$3:E8,DATAKBA[[#This Row],[TANGGAL]])&lt;&gt;1,0,1)</f>
        <v>1</v>
      </c>
      <c r="D8" s="222">
        <f t="shared" si="0"/>
        <v>6</v>
      </c>
      <c r="E8" s="339">
        <v>43832</v>
      </c>
      <c r="F8" s="340" t="str">
        <f ca="1">DOC</f>
        <v>001</v>
      </c>
      <c r="G8" s="341" t="s">
        <v>261</v>
      </c>
      <c r="H8" s="342" t="s">
        <v>262</v>
      </c>
      <c r="I8" s="343">
        <v>5</v>
      </c>
      <c r="J8" s="344">
        <v>39480</v>
      </c>
      <c r="K8" s="344">
        <v>19350</v>
      </c>
      <c r="L8" s="345">
        <f ca="1">NET</f>
        <v>20130</v>
      </c>
      <c r="M8" s="222" t="str">
        <f ca="1">DL</f>
        <v>LAUT</v>
      </c>
      <c r="Q8" s="346"/>
    </row>
    <row r="9" spans="2:17" ht="15">
      <c r="B9" s="337" t="str">
        <f ca="1">SUPPAJA</f>
        <v>RITA ERNITA</v>
      </c>
      <c r="C9" s="338">
        <f ca="1">IF(COUNTIFS($B$3:B9,DATAKBA[[#This Row],[NAMA SUPP]],$E$3:E9,DATAKBA[[#This Row],[TANGGAL]])&lt;&gt;1,0,1)</f>
        <v>1</v>
      </c>
      <c r="D9" s="222">
        <f t="shared" si="0"/>
        <v>7</v>
      </c>
      <c r="E9" s="339">
        <v>43832</v>
      </c>
      <c r="F9" s="340" t="str">
        <f ca="1">DOC</f>
        <v>001</v>
      </c>
      <c r="G9" s="341" t="s">
        <v>266</v>
      </c>
      <c r="H9" s="342" t="s">
        <v>263</v>
      </c>
      <c r="I9" s="343">
        <v>2</v>
      </c>
      <c r="J9" s="344">
        <v>15040</v>
      </c>
      <c r="K9" s="344">
        <v>7770</v>
      </c>
      <c r="L9" s="345">
        <f ca="1">NET</f>
        <v>7270</v>
      </c>
      <c r="M9" s="222" t="str">
        <f ca="1">DL</f>
        <v>LAUT</v>
      </c>
      <c r="Q9" s="346"/>
    </row>
    <row r="10" spans="2:17" ht="15">
      <c r="B10" s="337" t="str">
        <f ca="1">SUPPAJA</f>
        <v>YANADI</v>
      </c>
      <c r="C10" s="338">
        <f ca="1">IF(COUNTIFS($B$3:B10,DATAKBA[[#This Row],[NAMA SUPP]],$E$3:E10,DATAKBA[[#This Row],[TANGGAL]])&lt;&gt;1,0,1)</f>
        <v>1</v>
      </c>
      <c r="D10" s="222">
        <f t="shared" si="0"/>
        <v>8</v>
      </c>
      <c r="E10" s="339">
        <v>43832</v>
      </c>
      <c r="F10" s="340" t="str">
        <f ca="1">DOC</f>
        <v>001</v>
      </c>
      <c r="G10" s="341" t="s">
        <v>264</v>
      </c>
      <c r="H10" s="342" t="s">
        <v>265</v>
      </c>
      <c r="I10" s="343">
        <v>1</v>
      </c>
      <c r="J10" s="344">
        <v>7640</v>
      </c>
      <c r="K10" s="344">
        <v>3910</v>
      </c>
      <c r="L10" s="345">
        <f ca="1">NET</f>
        <v>3730</v>
      </c>
      <c r="M10" s="222" t="str">
        <f ca="1">DL</f>
        <v>LAUT</v>
      </c>
      <c r="Q10" s="346"/>
    </row>
    <row r="11" spans="2:17" ht="15">
      <c r="B11" s="337" t="str">
        <f ca="1">SUPPAJA</f>
        <v>ERAWATI</v>
      </c>
      <c r="C11" s="338">
        <f ca="1">IF(COUNTIFS($B$3:B11,DATAKBA[[#This Row],[NAMA SUPP]],$E$3:E11,DATAKBA[[#This Row],[TANGGAL]])&lt;&gt;1,0,1)</f>
        <v>1</v>
      </c>
      <c r="D11" s="222">
        <f t="shared" ref="D11:D20" si="1">COUNTER_RUDI</f>
        <v>1</v>
      </c>
      <c r="E11" s="339">
        <v>43833</v>
      </c>
      <c r="F11" s="340" t="str">
        <f ca="1">DOC</f>
        <v>002</v>
      </c>
      <c r="G11" s="341" t="s">
        <v>220</v>
      </c>
      <c r="H11" s="342" t="s">
        <v>253</v>
      </c>
      <c r="I11" s="343">
        <v>1</v>
      </c>
      <c r="J11" s="344">
        <v>11270</v>
      </c>
      <c r="K11" s="344">
        <v>4300</v>
      </c>
      <c r="L11" s="345">
        <f ca="1">NET</f>
        <v>6970</v>
      </c>
      <c r="M11" s="222" t="str">
        <f ca="1">DL</f>
        <v>DARAT</v>
      </c>
      <c r="Q11" s="346"/>
    </row>
    <row r="12" spans="2:17" ht="15">
      <c r="B12" s="337" t="str">
        <f ca="1">SUPPAJA</f>
        <v>INDRAYANI</v>
      </c>
      <c r="C12" s="338">
        <f ca="1">IF(COUNTIFS($B$3:B12,DATAKBA[[#This Row],[NAMA SUPP]],$E$3:E12,DATAKBA[[#This Row],[TANGGAL]])&lt;&gt;1,0,1)</f>
        <v>1</v>
      </c>
      <c r="D12" s="222">
        <f t="shared" si="1"/>
        <v>2</v>
      </c>
      <c r="E12" s="339">
        <v>43833</v>
      </c>
      <c r="F12" s="340" t="str">
        <f ca="1">DOC</f>
        <v>001</v>
      </c>
      <c r="G12" s="341" t="s">
        <v>99</v>
      </c>
      <c r="H12" s="342" t="s">
        <v>253</v>
      </c>
      <c r="I12" s="343">
        <v>4</v>
      </c>
      <c r="J12" s="344">
        <v>40930</v>
      </c>
      <c r="K12" s="344">
        <v>20820</v>
      </c>
      <c r="L12" s="345">
        <f ca="1">NET</f>
        <v>20110</v>
      </c>
      <c r="M12" s="222" t="str">
        <f ca="1">DL</f>
        <v>DARAT</v>
      </c>
      <c r="Q12" s="346"/>
    </row>
    <row r="13" spans="2:17" ht="15">
      <c r="B13" s="337" t="str">
        <f ca="1">SUPPAJA</f>
        <v>SAIRI</v>
      </c>
      <c r="C13" s="338">
        <f ca="1">IF(COUNTIFS($B$3:B13,DATAKBA[[#This Row],[NAMA SUPP]],$E$3:E13,DATAKBA[[#This Row],[TANGGAL]])&lt;&gt;1,0,1)</f>
        <v>1</v>
      </c>
      <c r="D13" s="222">
        <f t="shared" si="1"/>
        <v>3</v>
      </c>
      <c r="E13" s="339">
        <v>43833</v>
      </c>
      <c r="F13" s="347" t="str">
        <f ca="1">DOC</f>
        <v>001</v>
      </c>
      <c r="G13" s="348" t="s">
        <v>78</v>
      </c>
      <c r="H13" s="349" t="s">
        <v>267</v>
      </c>
      <c r="I13" s="350">
        <v>1</v>
      </c>
      <c r="J13" s="344">
        <v>12810</v>
      </c>
      <c r="K13" s="344">
        <v>4180</v>
      </c>
      <c r="L13" s="345">
        <f ca="1">NET</f>
        <v>8630</v>
      </c>
      <c r="M13" s="222" t="str">
        <f ca="1">DL</f>
        <v>DARAT</v>
      </c>
      <c r="Q13" s="346"/>
    </row>
    <row r="14" spans="2:17" ht="15">
      <c r="B14" s="337" t="str">
        <f ca="1">SUPPAJA</f>
        <v>DINI CHAIRANI</v>
      </c>
      <c r="C14" s="338">
        <f ca="1">IF(COUNTIFS($B$3:B14,DATAKBA[[#This Row],[NAMA SUPP]],$E$3:E14,DATAKBA[[#This Row],[TANGGAL]])&lt;&gt;1,0,1)</f>
        <v>1</v>
      </c>
      <c r="D14" s="222">
        <f t="shared" si="1"/>
        <v>4</v>
      </c>
      <c r="E14" s="339">
        <v>43833</v>
      </c>
      <c r="F14" s="340" t="str">
        <f ca="1">DOC</f>
        <v>001</v>
      </c>
      <c r="G14" s="341" t="s">
        <v>228</v>
      </c>
      <c r="H14" s="342" t="s">
        <v>268</v>
      </c>
      <c r="I14" s="343">
        <v>1</v>
      </c>
      <c r="J14" s="344">
        <v>9010</v>
      </c>
      <c r="K14" s="344">
        <v>3860</v>
      </c>
      <c r="L14" s="345">
        <f ca="1">NET</f>
        <v>5150</v>
      </c>
      <c r="M14" s="222" t="str">
        <f ca="1">DL</f>
        <v>LAUT</v>
      </c>
      <c r="Q14" s="346"/>
    </row>
    <row r="15" spans="2:17" ht="15">
      <c r="B15" s="337" t="str">
        <f ca="1">SUPPAJA</f>
        <v>DINI CHAIRANI</v>
      </c>
      <c r="C15" s="338">
        <f ca="1">IF(COUNTIFS($B$3:B15,DATAKBA[[#This Row],[NAMA SUPP]],$E$3:E15,DATAKBA[[#This Row],[TANGGAL]])&lt;&gt;1,0,1)</f>
        <v>0</v>
      </c>
      <c r="D15" s="222">
        <f t="shared" si="1"/>
        <v>5</v>
      </c>
      <c r="E15" s="339">
        <v>43833</v>
      </c>
      <c r="F15" s="340" t="str">
        <f ca="1">DOC</f>
        <v/>
      </c>
      <c r="G15" s="341" t="s">
        <v>269</v>
      </c>
      <c r="H15" s="342" t="s">
        <v>268</v>
      </c>
      <c r="I15" s="343">
        <v>5</v>
      </c>
      <c r="J15" s="344">
        <v>42370</v>
      </c>
      <c r="K15" s="344">
        <v>19460</v>
      </c>
      <c r="L15" s="345">
        <f ca="1">NET</f>
        <v>22910</v>
      </c>
      <c r="M15" s="222" t="str">
        <f ca="1">DL</f>
        <v>LAUT</v>
      </c>
      <c r="Q15" s="346"/>
    </row>
    <row r="16" spans="2:17" ht="15">
      <c r="B16" s="337" t="str">
        <f ca="1">SUPPAJA</f>
        <v>HENDRI</v>
      </c>
      <c r="C16" s="338">
        <f ca="1">IF(COUNTIFS($B$3:B16,DATAKBA[[#This Row],[NAMA SUPP]],$E$3:E16,DATAKBA[[#This Row],[TANGGAL]])&lt;&gt;1,0,1)</f>
        <v>1</v>
      </c>
      <c r="D16" s="222">
        <f t="shared" si="1"/>
        <v>6</v>
      </c>
      <c r="E16" s="339">
        <v>43833</v>
      </c>
      <c r="F16" s="340" t="str">
        <f ca="1">DOC</f>
        <v>002</v>
      </c>
      <c r="G16" s="341" t="s">
        <v>270</v>
      </c>
      <c r="H16" s="342" t="s">
        <v>255</v>
      </c>
      <c r="I16" s="343">
        <v>1</v>
      </c>
      <c r="J16" s="344">
        <v>4760</v>
      </c>
      <c r="K16" s="344">
        <v>3860</v>
      </c>
      <c r="L16" s="345">
        <f ca="1">NET</f>
        <v>900</v>
      </c>
      <c r="M16" s="222" t="str">
        <f ca="1">DL</f>
        <v>LAUT</v>
      </c>
      <c r="Q16" s="346"/>
    </row>
    <row r="17" spans="2:17" ht="15">
      <c r="B17" s="337" t="str">
        <f ca="1">SUPPAJA</f>
        <v>MARTONO</v>
      </c>
      <c r="C17" s="338">
        <f ca="1">IF(COUNTIFS($B$3:B17,DATAKBA[[#This Row],[NAMA SUPP]],$E$3:E17,DATAKBA[[#This Row],[TANGGAL]])&lt;&gt;1,0,1)</f>
        <v>1</v>
      </c>
      <c r="D17" s="222">
        <f t="shared" si="1"/>
        <v>7</v>
      </c>
      <c r="E17" s="339">
        <v>43833</v>
      </c>
      <c r="F17" s="340" t="str">
        <f ca="1">DOC</f>
        <v>002</v>
      </c>
      <c r="G17" s="341" t="s">
        <v>271</v>
      </c>
      <c r="H17" s="342" t="s">
        <v>257</v>
      </c>
      <c r="I17" s="343">
        <v>3</v>
      </c>
      <c r="J17" s="344">
        <v>22320</v>
      </c>
      <c r="K17" s="344">
        <v>11700</v>
      </c>
      <c r="L17" s="345">
        <f ca="1">NET</f>
        <v>10620</v>
      </c>
      <c r="M17" s="222" t="str">
        <f ca="1">DL</f>
        <v>LAUT</v>
      </c>
      <c r="Q17" s="346"/>
    </row>
    <row r="18" spans="2:17" ht="15">
      <c r="B18" s="337" t="str">
        <f ca="1">SUPPAJA</f>
        <v>MASRI</v>
      </c>
      <c r="C18" s="338">
        <f ca="1">IF(COUNTIFS($B$3:B18,DATAKBA[[#This Row],[NAMA SUPP]],$E$3:E18,DATAKBA[[#This Row],[TANGGAL]])&lt;&gt;1,0,1)</f>
        <v>1</v>
      </c>
      <c r="D18" s="222">
        <f t="shared" si="1"/>
        <v>8</v>
      </c>
      <c r="E18" s="339">
        <v>43833</v>
      </c>
      <c r="F18" s="340" t="str">
        <f ca="1">DOC</f>
        <v>002</v>
      </c>
      <c r="G18" s="341" t="s">
        <v>259</v>
      </c>
      <c r="H18" s="342" t="s">
        <v>260</v>
      </c>
      <c r="I18" s="343">
        <v>9</v>
      </c>
      <c r="J18" s="344">
        <v>72790</v>
      </c>
      <c r="K18" s="344">
        <v>35130</v>
      </c>
      <c r="L18" s="345">
        <f ca="1">NET</f>
        <v>37660</v>
      </c>
      <c r="M18" s="222" t="str">
        <f ca="1">DL</f>
        <v>LAUT</v>
      </c>
      <c r="Q18" s="346"/>
    </row>
    <row r="19" spans="2:17" ht="15">
      <c r="B19" s="337" t="str">
        <f ca="1">SUPPAJA</f>
        <v>MASRI</v>
      </c>
      <c r="C19" s="338">
        <f ca="1">IF(COUNTIFS($B$3:B19,DATAKBA[[#This Row],[NAMA SUPP]],$E$3:E19,DATAKBA[[#This Row],[TANGGAL]])&lt;&gt;1,0,1)</f>
        <v>0</v>
      </c>
      <c r="D19" s="222">
        <f t="shared" si="1"/>
        <v>9</v>
      </c>
      <c r="E19" s="339">
        <v>43833</v>
      </c>
      <c r="F19" s="340" t="str">
        <f ca="1">DOC</f>
        <v/>
      </c>
      <c r="G19" s="341" t="s">
        <v>272</v>
      </c>
      <c r="H19" s="342" t="s">
        <v>260</v>
      </c>
      <c r="I19" s="343">
        <v>2</v>
      </c>
      <c r="J19" s="344">
        <v>18350</v>
      </c>
      <c r="K19" s="344">
        <v>7720</v>
      </c>
      <c r="L19" s="345">
        <f ca="1">NET</f>
        <v>10630</v>
      </c>
      <c r="M19" s="222" t="str">
        <f ca="1">DL</f>
        <v>LAUT</v>
      </c>
      <c r="Q19" s="346"/>
    </row>
    <row r="20" spans="2:17" ht="15">
      <c r="B20" s="337" t="str">
        <f ca="1">SUPPAJA</f>
        <v>YANADI</v>
      </c>
      <c r="C20" s="338">
        <f ca="1">IF(COUNTIFS($B$3:B20,DATAKBA[[#This Row],[NAMA SUPP]],$E$3:E20,DATAKBA[[#This Row],[TANGGAL]])&lt;&gt;1,0,1)</f>
        <v>1</v>
      </c>
      <c r="D20" s="222">
        <f t="shared" si="1"/>
        <v>10</v>
      </c>
      <c r="E20" s="339">
        <v>43833</v>
      </c>
      <c r="F20" s="347" t="str">
        <f ca="1">DOC</f>
        <v>002</v>
      </c>
      <c r="G20" s="348" t="s">
        <v>264</v>
      </c>
      <c r="H20" s="349" t="s">
        <v>265</v>
      </c>
      <c r="I20" s="350">
        <v>1</v>
      </c>
      <c r="J20" s="344">
        <v>5120</v>
      </c>
      <c r="K20" s="344">
        <v>3910</v>
      </c>
      <c r="L20" s="345">
        <f ca="1">NET</f>
        <v>1210</v>
      </c>
      <c r="M20" s="222" t="str">
        <f ca="1">DL</f>
        <v>LAUT</v>
      </c>
      <c r="Q20" s="346"/>
    </row>
    <row r="21" spans="2:17" ht="15">
      <c r="B21" s="351" t="str">
        <f ca="1">SUPPAJA</f>
        <v>ERAWATI</v>
      </c>
      <c r="C21" s="338">
        <f ca="1">IF(COUNTIFS($B$3:B21,DATAKBA[[#This Row],[NAMA SUPP]],$E$3:E21,DATAKBA[[#This Row],[TANGGAL]])&lt;&gt;1,0,1)</f>
        <v>1</v>
      </c>
      <c r="D21" s="222">
        <f t="shared" ref="D21:D26" si="2">COUNTER_RUDI</f>
        <v>1</v>
      </c>
      <c r="E21" s="357">
        <v>43834</v>
      </c>
      <c r="F21" s="352" t="str">
        <f ca="1">DOC</f>
        <v>003</v>
      </c>
      <c r="G21" s="353" t="s">
        <v>220</v>
      </c>
      <c r="H21" s="354" t="s">
        <v>253</v>
      </c>
      <c r="I21" s="355">
        <v>1</v>
      </c>
      <c r="J21" s="213">
        <v>10130</v>
      </c>
      <c r="K21" s="213">
        <v>4340</v>
      </c>
      <c r="L21" s="356">
        <f ca="1">NET</f>
        <v>5790</v>
      </c>
      <c r="M21" s="222" t="str">
        <f ca="1">DL</f>
        <v>DARAT</v>
      </c>
      <c r="Q21" s="346"/>
    </row>
    <row r="22" spans="2:17" ht="15">
      <c r="B22" s="351" t="str">
        <f ca="1">SUPPAJA</f>
        <v>INDRAYANI</v>
      </c>
      <c r="C22" s="338">
        <f ca="1">IF(COUNTIFS($B$3:B22,DATAKBA[[#This Row],[NAMA SUPP]],$E$3:E22,DATAKBA[[#This Row],[TANGGAL]])&lt;&gt;1,0,1)</f>
        <v>1</v>
      </c>
      <c r="D22" s="222">
        <f t="shared" si="2"/>
        <v>2</v>
      </c>
      <c r="E22" s="357">
        <v>43834</v>
      </c>
      <c r="F22" s="352" t="str">
        <f ca="1">DOC</f>
        <v>002</v>
      </c>
      <c r="G22" s="353" t="s">
        <v>99</v>
      </c>
      <c r="H22" s="354" t="s">
        <v>253</v>
      </c>
      <c r="I22" s="355">
        <v>1</v>
      </c>
      <c r="J22" s="213">
        <v>8090</v>
      </c>
      <c r="K22" s="213">
        <v>3380</v>
      </c>
      <c r="L22" s="356">
        <f ca="1">NET</f>
        <v>4710</v>
      </c>
      <c r="M22" s="222" t="str">
        <f ca="1">DL</f>
        <v>DARAT</v>
      </c>
      <c r="Q22" s="346"/>
    </row>
    <row r="23" spans="2:17" ht="15">
      <c r="B23" s="351" t="str">
        <f ca="1">SUPPAJA</f>
        <v>SAIRI</v>
      </c>
      <c r="C23" s="338">
        <f ca="1">IF(COUNTIFS($B$3:B23,DATAKBA[[#This Row],[NAMA SUPP]],$E$3:E23,DATAKBA[[#This Row],[TANGGAL]])&lt;&gt;1,0,1)</f>
        <v>1</v>
      </c>
      <c r="D23" s="222">
        <f t="shared" si="2"/>
        <v>3</v>
      </c>
      <c r="E23" s="357">
        <v>43834</v>
      </c>
      <c r="F23" s="210" t="str">
        <f ca="1">DOC</f>
        <v>002</v>
      </c>
      <c r="G23" s="207" t="s">
        <v>78</v>
      </c>
      <c r="H23" s="209" t="s">
        <v>267</v>
      </c>
      <c r="I23" s="208">
        <v>1</v>
      </c>
      <c r="J23" s="213">
        <v>4520</v>
      </c>
      <c r="K23" s="213">
        <v>1550</v>
      </c>
      <c r="L23" s="356">
        <f ca="1">NET</f>
        <v>2970</v>
      </c>
      <c r="M23" s="222" t="str">
        <f ca="1">DL</f>
        <v>DARAT</v>
      </c>
      <c r="Q23" s="346"/>
    </row>
    <row r="24" spans="2:17" ht="15">
      <c r="B24" s="351" t="str">
        <f ca="1">SUPPAJA</f>
        <v>MARTONO</v>
      </c>
      <c r="C24" s="338">
        <f ca="1">IF(COUNTIFS($B$3:B24,DATAKBA[[#This Row],[NAMA SUPP]],$E$3:E24,DATAKBA[[#This Row],[TANGGAL]])&lt;&gt;1,0,1)</f>
        <v>1</v>
      </c>
      <c r="D24" s="222">
        <f t="shared" si="2"/>
        <v>4</v>
      </c>
      <c r="E24" s="357">
        <v>43834</v>
      </c>
      <c r="F24" s="352" t="str">
        <f ca="1">DOC</f>
        <v>003</v>
      </c>
      <c r="G24" s="353" t="s">
        <v>273</v>
      </c>
      <c r="H24" s="354" t="s">
        <v>257</v>
      </c>
      <c r="I24" s="355">
        <v>3</v>
      </c>
      <c r="J24" s="213">
        <v>21970</v>
      </c>
      <c r="K24" s="213">
        <v>11680</v>
      </c>
      <c r="L24" s="356">
        <f ca="1">NET</f>
        <v>10290</v>
      </c>
      <c r="M24" s="222" t="str">
        <f ca="1">DL</f>
        <v>LAUT</v>
      </c>
      <c r="Q24" s="346"/>
    </row>
    <row r="25" spans="2:17" ht="15">
      <c r="B25" s="351" t="str">
        <f ca="1">SUPPAJA</f>
        <v>SUKAMTO</v>
      </c>
      <c r="C25" s="338">
        <f ca="1">IF(COUNTIFS($B$3:B25,DATAKBA[[#This Row],[NAMA SUPP]],$E$3:E25,DATAKBA[[#This Row],[TANGGAL]])&lt;&gt;1,0,1)</f>
        <v>1</v>
      </c>
      <c r="D25" s="222">
        <f t="shared" si="2"/>
        <v>5</v>
      </c>
      <c r="E25" s="357">
        <v>43834</v>
      </c>
      <c r="F25" s="352" t="str">
        <f ca="1">DOC</f>
        <v>001</v>
      </c>
      <c r="G25" s="353" t="s">
        <v>274</v>
      </c>
      <c r="H25" s="354" t="s">
        <v>275</v>
      </c>
      <c r="I25" s="355">
        <v>1</v>
      </c>
      <c r="J25" s="213">
        <v>7810</v>
      </c>
      <c r="K25" s="213">
        <v>3910</v>
      </c>
      <c r="L25" s="356">
        <f ca="1">NET</f>
        <v>3900</v>
      </c>
      <c r="M25" s="222" t="str">
        <f ca="1">DL</f>
        <v>LAUT</v>
      </c>
      <c r="Q25" s="346"/>
    </row>
    <row r="26" spans="2:17" ht="15">
      <c r="B26" s="351" t="str">
        <f ca="1">SUPPAJA</f>
        <v>YANADI</v>
      </c>
      <c r="C26" s="338">
        <f ca="1">IF(COUNTIFS($B$3:B26,DATAKBA[[#This Row],[NAMA SUPP]],$E$3:E26,DATAKBA[[#This Row],[TANGGAL]])&lt;&gt;1,0,1)</f>
        <v>1</v>
      </c>
      <c r="D26" s="222">
        <f t="shared" si="2"/>
        <v>6</v>
      </c>
      <c r="E26" s="357">
        <v>43834</v>
      </c>
      <c r="F26" s="352" t="str">
        <f ca="1">DOC</f>
        <v>003</v>
      </c>
      <c r="G26" s="353" t="s">
        <v>264</v>
      </c>
      <c r="H26" s="354" t="s">
        <v>265</v>
      </c>
      <c r="I26" s="355">
        <v>1</v>
      </c>
      <c r="J26" s="213">
        <v>5160</v>
      </c>
      <c r="K26" s="213">
        <v>3900</v>
      </c>
      <c r="L26" s="356">
        <f ca="1">NET</f>
        <v>1260</v>
      </c>
      <c r="M26" s="222" t="str">
        <f ca="1">DL</f>
        <v>LAUT</v>
      </c>
      <c r="Q26" s="346"/>
    </row>
    <row r="27" spans="2:17" ht="15">
      <c r="B27" s="358" t="str">
        <f ca="1">SUPPAJA</f>
        <v>INDRAYANI</v>
      </c>
      <c r="C27" s="338">
        <f ca="1">IF(COUNTIFS($B$3:B27,DATAKBA[[#This Row],[NAMA SUPP]],$E$3:E27,DATAKBA[[#This Row],[TANGGAL]])&lt;&gt;1,0,1)</f>
        <v>1</v>
      </c>
      <c r="D27" s="222">
        <f t="shared" ref="D27:D36" si="3">COUNTER_RUDI</f>
        <v>1</v>
      </c>
      <c r="E27" s="359">
        <v>43836</v>
      </c>
      <c r="F27" s="360" t="str">
        <f ca="1">DOC</f>
        <v>003</v>
      </c>
      <c r="G27" s="361" t="s">
        <v>99</v>
      </c>
      <c r="H27" s="362" t="s">
        <v>253</v>
      </c>
      <c r="I27" s="363">
        <v>2</v>
      </c>
      <c r="J27" s="364">
        <v>20880</v>
      </c>
      <c r="K27" s="364">
        <v>7760</v>
      </c>
      <c r="L27" s="365">
        <f ca="1">NET</f>
        <v>13120</v>
      </c>
      <c r="M27" s="222" t="str">
        <f ca="1">DL</f>
        <v>DARAT</v>
      </c>
      <c r="Q27" s="346"/>
    </row>
    <row r="28" spans="2:17" ht="15">
      <c r="B28" s="358" t="str">
        <f ca="1">SUPPAJA</f>
        <v>SAIRI</v>
      </c>
      <c r="C28" s="338">
        <f ca="1">IF(COUNTIFS($B$3:B28,DATAKBA[[#This Row],[NAMA SUPP]],$E$3:E28,DATAKBA[[#This Row],[TANGGAL]])&lt;&gt;1,0,1)</f>
        <v>1</v>
      </c>
      <c r="D28" s="222">
        <f t="shared" si="3"/>
        <v>2</v>
      </c>
      <c r="E28" s="359">
        <v>43836</v>
      </c>
      <c r="F28" s="366" t="str">
        <f ca="1">DOC</f>
        <v>003</v>
      </c>
      <c r="G28" s="367" t="s">
        <v>78</v>
      </c>
      <c r="H28" s="368" t="s">
        <v>267</v>
      </c>
      <c r="I28" s="369">
        <v>2</v>
      </c>
      <c r="J28" s="364">
        <v>12750</v>
      </c>
      <c r="K28" s="364">
        <v>7740</v>
      </c>
      <c r="L28" s="365">
        <f ca="1">NET</f>
        <v>5010</v>
      </c>
      <c r="M28" s="222" t="str">
        <f ca="1">DL</f>
        <v>DARAT</v>
      </c>
      <c r="Q28" s="346"/>
    </row>
    <row r="29" spans="2:17" ht="15">
      <c r="B29" s="358" t="str">
        <f ca="1">SUPPAJA</f>
        <v>DINI CHAIRANI</v>
      </c>
      <c r="C29" s="338">
        <f ca="1">IF(COUNTIFS($B$3:B29,DATAKBA[[#This Row],[NAMA SUPP]],$E$3:E29,DATAKBA[[#This Row],[TANGGAL]])&lt;&gt;1,0,1)</f>
        <v>1</v>
      </c>
      <c r="D29" s="222">
        <f t="shared" si="3"/>
        <v>3</v>
      </c>
      <c r="E29" s="359">
        <v>43836</v>
      </c>
      <c r="F29" s="360" t="str">
        <f ca="1">DOC</f>
        <v>002</v>
      </c>
      <c r="G29" s="361" t="s">
        <v>276</v>
      </c>
      <c r="H29" s="362" t="s">
        <v>268</v>
      </c>
      <c r="I29" s="363">
        <v>2</v>
      </c>
      <c r="J29" s="364">
        <v>13460</v>
      </c>
      <c r="K29" s="364">
        <v>7800</v>
      </c>
      <c r="L29" s="365">
        <f ca="1">NET</f>
        <v>5660</v>
      </c>
      <c r="M29" s="222" t="str">
        <f ca="1">DL</f>
        <v>LAUT</v>
      </c>
      <c r="Q29" s="346"/>
    </row>
    <row r="30" spans="2:17" ht="15">
      <c r="B30" s="358" t="str">
        <f ca="1">SUPPAJA</f>
        <v>ERAWATI</v>
      </c>
      <c r="C30" s="338">
        <f ca="1">IF(COUNTIFS($B$3:B30,DATAKBA[[#This Row],[NAMA SUPP]],$E$3:E30,DATAKBA[[#This Row],[TANGGAL]])&lt;&gt;1,0,1)</f>
        <v>1</v>
      </c>
      <c r="D30" s="222">
        <f t="shared" si="3"/>
        <v>4</v>
      </c>
      <c r="E30" s="359">
        <v>43836</v>
      </c>
      <c r="F30" s="360" t="str">
        <f ca="1">DOC</f>
        <v>004</v>
      </c>
      <c r="G30" s="361" t="s">
        <v>252</v>
      </c>
      <c r="H30" s="362" t="s">
        <v>253</v>
      </c>
      <c r="I30" s="363">
        <v>1</v>
      </c>
      <c r="J30" s="364">
        <v>8140</v>
      </c>
      <c r="K30" s="364">
        <v>3890</v>
      </c>
      <c r="L30" s="365">
        <f ca="1">NET</f>
        <v>4250</v>
      </c>
      <c r="M30" s="222" t="str">
        <f ca="1">DL</f>
        <v>LAUT</v>
      </c>
      <c r="Q30" s="346"/>
    </row>
    <row r="31" spans="2:17" ht="15">
      <c r="B31" s="358" t="str">
        <f ca="1">SUPPAJA</f>
        <v>HENDRI</v>
      </c>
      <c r="C31" s="338">
        <f ca="1">IF(COUNTIFS($B$3:B31,DATAKBA[[#This Row],[NAMA SUPP]],$E$3:E31,DATAKBA[[#This Row],[TANGGAL]])&lt;&gt;1,0,1)</f>
        <v>1</v>
      </c>
      <c r="D31" s="222">
        <f t="shared" si="3"/>
        <v>5</v>
      </c>
      <c r="E31" s="359">
        <v>43836</v>
      </c>
      <c r="F31" s="360" t="str">
        <f ca="1">DOC</f>
        <v>003</v>
      </c>
      <c r="G31" s="361" t="s">
        <v>277</v>
      </c>
      <c r="H31" s="362" t="s">
        <v>255</v>
      </c>
      <c r="I31" s="363">
        <v>4</v>
      </c>
      <c r="J31" s="364">
        <v>34810</v>
      </c>
      <c r="K31" s="364">
        <v>15560</v>
      </c>
      <c r="L31" s="365">
        <f ca="1">NET</f>
        <v>19250</v>
      </c>
      <c r="M31" s="222" t="str">
        <f ca="1">DL</f>
        <v>LAUT</v>
      </c>
      <c r="Q31" s="346"/>
    </row>
    <row r="32" spans="2:17" ht="15">
      <c r="B32" s="358" t="str">
        <f ca="1">SUPPAJA</f>
        <v>MARTONO</v>
      </c>
      <c r="C32" s="338">
        <f ca="1">IF(COUNTIFS($B$3:B32,DATAKBA[[#This Row],[NAMA SUPP]],$E$3:E32,DATAKBA[[#This Row],[TANGGAL]])&lt;&gt;1,0,1)</f>
        <v>1</v>
      </c>
      <c r="D32" s="222">
        <f t="shared" si="3"/>
        <v>6</v>
      </c>
      <c r="E32" s="359">
        <v>43836</v>
      </c>
      <c r="F32" s="360" t="str">
        <f ca="1">DOC</f>
        <v>004</v>
      </c>
      <c r="G32" s="361" t="s">
        <v>256</v>
      </c>
      <c r="H32" s="362" t="s">
        <v>257</v>
      </c>
      <c r="I32" s="363">
        <v>2</v>
      </c>
      <c r="J32" s="364">
        <v>13520</v>
      </c>
      <c r="K32" s="364">
        <v>7680</v>
      </c>
      <c r="L32" s="365">
        <f ca="1">NET</f>
        <v>5840</v>
      </c>
      <c r="M32" s="222" t="str">
        <f ca="1">DL</f>
        <v>LAUT</v>
      </c>
      <c r="Q32" s="346"/>
    </row>
    <row r="33" spans="2:17" ht="15">
      <c r="B33" s="358" t="str">
        <f ca="1">SUPPAJA</f>
        <v>MARTONO</v>
      </c>
      <c r="C33" s="338">
        <f ca="1">IF(COUNTIFS($B$3:B33,DATAKBA[[#This Row],[NAMA SUPP]],$E$3:E33,DATAKBA[[#This Row],[TANGGAL]])&lt;&gt;1,0,1)</f>
        <v>0</v>
      </c>
      <c r="D33" s="222">
        <f t="shared" si="3"/>
        <v>7</v>
      </c>
      <c r="E33" s="359">
        <v>43836</v>
      </c>
      <c r="F33" s="360" t="str">
        <f ca="1">DOC</f>
        <v/>
      </c>
      <c r="G33" s="361" t="s">
        <v>278</v>
      </c>
      <c r="H33" s="362" t="s">
        <v>257</v>
      </c>
      <c r="I33" s="363">
        <v>1</v>
      </c>
      <c r="J33" s="364">
        <v>4830</v>
      </c>
      <c r="K33" s="364">
        <v>3940</v>
      </c>
      <c r="L33" s="365">
        <f ca="1">NET</f>
        <v>890</v>
      </c>
      <c r="M33" s="222" t="str">
        <f ca="1">DL</f>
        <v>LAUT</v>
      </c>
      <c r="Q33" s="346"/>
    </row>
    <row r="34" spans="2:17" ht="15">
      <c r="B34" s="358" t="str">
        <f ca="1">SUPPAJA</f>
        <v>MARTONO</v>
      </c>
      <c r="C34" s="338">
        <f ca="1">IF(COUNTIFS($B$3:B34,DATAKBA[[#This Row],[NAMA SUPP]],$E$3:E34,DATAKBA[[#This Row],[TANGGAL]])&lt;&gt;1,0,1)</f>
        <v>0</v>
      </c>
      <c r="D34" s="222">
        <f t="shared" si="3"/>
        <v>8</v>
      </c>
      <c r="E34" s="359">
        <v>43836</v>
      </c>
      <c r="F34" s="360" t="str">
        <f ca="1">DOC</f>
        <v/>
      </c>
      <c r="G34" s="361" t="s">
        <v>279</v>
      </c>
      <c r="H34" s="362" t="s">
        <v>257</v>
      </c>
      <c r="I34" s="363">
        <v>2</v>
      </c>
      <c r="J34" s="364">
        <v>15610</v>
      </c>
      <c r="K34" s="364">
        <v>7760</v>
      </c>
      <c r="L34" s="365">
        <f ca="1">NET</f>
        <v>7850</v>
      </c>
      <c r="M34" s="222" t="str">
        <f ca="1">DL</f>
        <v>LAUT</v>
      </c>
      <c r="Q34" s="346"/>
    </row>
    <row r="35" spans="2:17" ht="15">
      <c r="B35" s="358" t="str">
        <f ca="1">SUPPAJA</f>
        <v>MASRI</v>
      </c>
      <c r="C35" s="338">
        <f ca="1">IF(COUNTIFS($B$3:B35,DATAKBA[[#This Row],[NAMA SUPP]],$E$3:E35,DATAKBA[[#This Row],[TANGGAL]])&lt;&gt;1,0,1)</f>
        <v>1</v>
      </c>
      <c r="D35" s="222">
        <f t="shared" si="3"/>
        <v>9</v>
      </c>
      <c r="E35" s="359">
        <v>43836</v>
      </c>
      <c r="F35" s="360" t="str">
        <f ca="1">DOC</f>
        <v>003</v>
      </c>
      <c r="G35" s="361" t="s">
        <v>280</v>
      </c>
      <c r="H35" s="362" t="s">
        <v>260</v>
      </c>
      <c r="I35" s="363">
        <v>15</v>
      </c>
      <c r="J35" s="364">
        <v>125310</v>
      </c>
      <c r="K35" s="364">
        <v>58060</v>
      </c>
      <c r="L35" s="365">
        <f ca="1">NET</f>
        <v>67250</v>
      </c>
      <c r="M35" s="222" t="str">
        <f ca="1">DL</f>
        <v>LAUT</v>
      </c>
      <c r="Q35" s="346"/>
    </row>
    <row r="36" spans="2:17" ht="15">
      <c r="B36" s="358" t="str">
        <f ca="1">SUPPAJA</f>
        <v>YANADI</v>
      </c>
      <c r="C36" s="338">
        <f ca="1">IF(COUNTIFS($B$3:B36,DATAKBA[[#This Row],[NAMA SUPP]],$E$3:E36,DATAKBA[[#This Row],[TANGGAL]])&lt;&gt;1,0,1)</f>
        <v>1</v>
      </c>
      <c r="D36" s="222">
        <f t="shared" si="3"/>
        <v>10</v>
      </c>
      <c r="E36" s="359">
        <v>43836</v>
      </c>
      <c r="F36" s="366" t="str">
        <f ca="1">DOC</f>
        <v>004</v>
      </c>
      <c r="G36" s="367" t="s">
        <v>281</v>
      </c>
      <c r="H36" s="368" t="s">
        <v>265</v>
      </c>
      <c r="I36" s="369">
        <v>1</v>
      </c>
      <c r="J36" s="364">
        <v>5030</v>
      </c>
      <c r="K36" s="364">
        <v>3810</v>
      </c>
      <c r="L36" s="365">
        <f ca="1">NET</f>
        <v>1220</v>
      </c>
      <c r="M36" s="222" t="str">
        <f ca="1">DL</f>
        <v>LAUT</v>
      </c>
      <c r="Q36" s="346"/>
    </row>
    <row r="37" spans="2:17" ht="15">
      <c r="B37" s="453" t="str">
        <f ca="1">SUPPAJA</f>
        <v>ERAWATI</v>
      </c>
      <c r="C37" s="338">
        <f ca="1">IF(COUNTIFS($B$3:B37,DATAKBA[[#This Row],[NAMA SUPP]],$E$3:E37,DATAKBA[[#This Row],[TANGGAL]])&lt;&gt;1,0,1)</f>
        <v>1</v>
      </c>
      <c r="D37" s="222">
        <f t="shared" ref="D37:D45" si="4">COUNTER_RUDI</f>
        <v>1</v>
      </c>
      <c r="E37" s="454">
        <v>43837</v>
      </c>
      <c r="F37" s="461" t="str">
        <f ca="1">DOC</f>
        <v>005</v>
      </c>
      <c r="G37" s="462" t="s">
        <v>220</v>
      </c>
      <c r="H37" s="463" t="s">
        <v>253</v>
      </c>
      <c r="I37" s="464">
        <v>1</v>
      </c>
      <c r="J37" s="459">
        <v>12130</v>
      </c>
      <c r="K37" s="459">
        <v>4440</v>
      </c>
      <c r="L37" s="460">
        <f ca="1">NET</f>
        <v>7690</v>
      </c>
      <c r="M37" s="222" t="str">
        <f ca="1">DL</f>
        <v>DARAT</v>
      </c>
      <c r="Q37" s="346"/>
    </row>
    <row r="38" spans="2:17" ht="15">
      <c r="B38" s="453" t="str">
        <f ca="1">SUPPAJA</f>
        <v>MASRI</v>
      </c>
      <c r="C38" s="338">
        <f ca="1">IF(COUNTIFS($B$3:B38,DATAKBA[[#This Row],[NAMA SUPP]],$E$3:E38,DATAKBA[[#This Row],[TANGGAL]])&lt;&gt;1,0,1)</f>
        <v>1</v>
      </c>
      <c r="D38" s="222">
        <f t="shared" si="4"/>
        <v>2</v>
      </c>
      <c r="E38" s="454">
        <v>43837</v>
      </c>
      <c r="F38" s="455" t="str">
        <f ca="1">DOC</f>
        <v>004</v>
      </c>
      <c r="G38" s="456" t="s">
        <v>323</v>
      </c>
      <c r="H38" s="457" t="s">
        <v>260</v>
      </c>
      <c r="I38" s="458">
        <v>4</v>
      </c>
      <c r="J38" s="459">
        <v>32110</v>
      </c>
      <c r="K38" s="459">
        <v>15480</v>
      </c>
      <c r="L38" s="460">
        <f ca="1">NET</f>
        <v>16630</v>
      </c>
      <c r="M38" s="222" t="str">
        <f ca="1">DL</f>
        <v>LAUT</v>
      </c>
      <c r="Q38" s="346"/>
    </row>
    <row r="39" spans="2:17" ht="15">
      <c r="B39" s="453" t="str">
        <f ca="1">SUPPAJA</f>
        <v>SUKAMTO</v>
      </c>
      <c r="C39" s="338">
        <f ca="1">IF(COUNTIFS($B$3:B39,DATAKBA[[#This Row],[NAMA SUPP]],$E$3:E39,DATAKBA[[#This Row],[TANGGAL]])&lt;&gt;1,0,1)</f>
        <v>1</v>
      </c>
      <c r="D39" s="222">
        <f t="shared" si="4"/>
        <v>3</v>
      </c>
      <c r="E39" s="454">
        <v>43837</v>
      </c>
      <c r="F39" s="455" t="str">
        <f ca="1">DOC</f>
        <v>002</v>
      </c>
      <c r="G39" s="456" t="s">
        <v>274</v>
      </c>
      <c r="H39" s="457" t="s">
        <v>275</v>
      </c>
      <c r="I39" s="458">
        <v>1</v>
      </c>
      <c r="J39" s="459">
        <v>8510</v>
      </c>
      <c r="K39" s="459">
        <v>3900</v>
      </c>
      <c r="L39" s="460">
        <f ca="1">NET</f>
        <v>4610</v>
      </c>
      <c r="M39" s="222" t="str">
        <f ca="1">DL</f>
        <v>LAUT</v>
      </c>
      <c r="Q39" s="346"/>
    </row>
    <row r="40" spans="2:17" ht="15">
      <c r="B40" s="453" t="str">
        <f ca="1">SUPPAJA</f>
        <v>ZAINAL ABIDIN</v>
      </c>
      <c r="C40" s="338">
        <f ca="1">IF(COUNTIFS($B$3:B40,DATAKBA[[#This Row],[NAMA SUPP]],$E$3:E40,DATAKBA[[#This Row],[TANGGAL]])&lt;&gt;1,0,1)</f>
        <v>1</v>
      </c>
      <c r="D40" s="222">
        <f t="shared" si="4"/>
        <v>4</v>
      </c>
      <c r="E40" s="454">
        <v>43837</v>
      </c>
      <c r="F40" s="461" t="str">
        <f ca="1">DOC</f>
        <v>001</v>
      </c>
      <c r="G40" s="462" t="s">
        <v>324</v>
      </c>
      <c r="H40" s="463" t="s">
        <v>275</v>
      </c>
      <c r="I40" s="464">
        <v>3</v>
      </c>
      <c r="J40" s="459">
        <v>25530</v>
      </c>
      <c r="K40" s="459">
        <v>11800</v>
      </c>
      <c r="L40" s="460">
        <f ca="1">NET</f>
        <v>13730</v>
      </c>
      <c r="M40" s="222" t="str">
        <f ca="1">DL</f>
        <v>LAUT</v>
      </c>
      <c r="Q40" s="346"/>
    </row>
    <row r="41" spans="2:17" ht="15">
      <c r="B41" s="453" t="str">
        <f ca="1">SUPPAJA</f>
        <v>INDRAYANI</v>
      </c>
      <c r="C41" s="338">
        <f ca="1">IF(COUNTIFS($B$3:B41,DATAKBA[[#This Row],[NAMA SUPP]],$E$3:E41,DATAKBA[[#This Row],[TANGGAL]])&lt;&gt;1,0,1)</f>
        <v>1</v>
      </c>
      <c r="D41" s="222">
        <f t="shared" si="4"/>
        <v>1</v>
      </c>
      <c r="E41" s="454">
        <v>43838</v>
      </c>
      <c r="F41" s="455" t="str">
        <f ca="1">DOC</f>
        <v>004</v>
      </c>
      <c r="G41" s="456" t="s">
        <v>99</v>
      </c>
      <c r="H41" s="457" t="s">
        <v>253</v>
      </c>
      <c r="I41" s="458">
        <v>2</v>
      </c>
      <c r="J41" s="459">
        <v>24180</v>
      </c>
      <c r="K41" s="459">
        <v>7530</v>
      </c>
      <c r="L41" s="460">
        <f ca="1">NET</f>
        <v>16650</v>
      </c>
      <c r="M41" s="222" t="str">
        <f ca="1">DL</f>
        <v>DARAT</v>
      </c>
      <c r="Q41" s="346"/>
    </row>
    <row r="42" spans="2:17" ht="15">
      <c r="B42" s="453" t="str">
        <f ca="1">SUPPAJA</f>
        <v>SAIRI</v>
      </c>
      <c r="C42" s="338">
        <f ca="1">IF(COUNTIFS($B$3:B42,DATAKBA[[#This Row],[NAMA SUPP]],$E$3:E42,DATAKBA[[#This Row],[TANGGAL]])&lt;&gt;1,0,1)</f>
        <v>1</v>
      </c>
      <c r="D42" s="222">
        <f t="shared" si="4"/>
        <v>2</v>
      </c>
      <c r="E42" s="454">
        <v>43838</v>
      </c>
      <c r="F42" s="461" t="str">
        <f ca="1">DOC</f>
        <v>004</v>
      </c>
      <c r="G42" s="462" t="s">
        <v>78</v>
      </c>
      <c r="H42" s="463" t="s">
        <v>267</v>
      </c>
      <c r="I42" s="464">
        <v>1</v>
      </c>
      <c r="J42" s="459">
        <v>7850</v>
      </c>
      <c r="K42" s="459">
        <v>4310</v>
      </c>
      <c r="L42" s="460">
        <f ca="1">NET</f>
        <v>3540</v>
      </c>
      <c r="M42" s="222" t="str">
        <f ca="1">DL</f>
        <v>DARAT</v>
      </c>
      <c r="Q42" s="346"/>
    </row>
    <row r="43" spans="2:17" ht="15">
      <c r="B43" s="453" t="str">
        <f ca="1">SUPPAJA</f>
        <v>ERAWATI</v>
      </c>
      <c r="C43" s="338">
        <f ca="1">IF(COUNTIFS($B$3:B43,DATAKBA[[#This Row],[NAMA SUPP]],$E$3:E43,DATAKBA[[#This Row],[TANGGAL]])&lt;&gt;1,0,1)</f>
        <v>1</v>
      </c>
      <c r="D43" s="222">
        <f t="shared" si="4"/>
        <v>3</v>
      </c>
      <c r="E43" s="454">
        <v>43838</v>
      </c>
      <c r="F43" s="455" t="str">
        <f ca="1">DOC</f>
        <v>006</v>
      </c>
      <c r="G43" s="456" t="s">
        <v>325</v>
      </c>
      <c r="H43" s="457" t="s">
        <v>253</v>
      </c>
      <c r="I43" s="458">
        <v>1</v>
      </c>
      <c r="J43" s="459">
        <v>6980</v>
      </c>
      <c r="K43" s="459">
        <v>3890</v>
      </c>
      <c r="L43" s="460">
        <f ca="1">NET</f>
        <v>3090</v>
      </c>
      <c r="M43" s="222" t="str">
        <f ca="1">DL</f>
        <v>LAUT</v>
      </c>
      <c r="Q43" s="346"/>
    </row>
    <row r="44" spans="2:17" ht="15">
      <c r="B44" s="453" t="str">
        <f ca="1">SUPPAJA</f>
        <v>MARTONO</v>
      </c>
      <c r="C44" s="338">
        <f ca="1">IF(COUNTIFS($B$3:B44,DATAKBA[[#This Row],[NAMA SUPP]],$E$3:E44,DATAKBA[[#This Row],[TANGGAL]])&lt;&gt;1,0,1)</f>
        <v>1</v>
      </c>
      <c r="D44" s="222">
        <f t="shared" si="4"/>
        <v>4</v>
      </c>
      <c r="E44" s="454">
        <v>43838</v>
      </c>
      <c r="F44" s="455" t="str">
        <f ca="1">DOC</f>
        <v>005</v>
      </c>
      <c r="G44" s="456" t="s">
        <v>326</v>
      </c>
      <c r="H44" s="457" t="s">
        <v>257</v>
      </c>
      <c r="I44" s="458">
        <v>4</v>
      </c>
      <c r="J44" s="459">
        <v>32270</v>
      </c>
      <c r="K44" s="459">
        <v>15480</v>
      </c>
      <c r="L44" s="460">
        <f ca="1">NET</f>
        <v>16790</v>
      </c>
      <c r="M44" s="222" t="str">
        <f ca="1">DL</f>
        <v>LAUT</v>
      </c>
      <c r="Q44" s="346"/>
    </row>
    <row r="45" spans="2:17" ht="15">
      <c r="B45" s="453" t="str">
        <f ca="1">SUPPAJA</f>
        <v>MARTONO</v>
      </c>
      <c r="C45" s="338">
        <f ca="1">IF(COUNTIFS($B$3:B45,DATAKBA[[#This Row],[NAMA SUPP]],$E$3:E45,DATAKBA[[#This Row],[TANGGAL]])&lt;&gt;1,0,1)</f>
        <v>0</v>
      </c>
      <c r="D45" s="222">
        <f t="shared" si="4"/>
        <v>5</v>
      </c>
      <c r="E45" s="454">
        <v>43838</v>
      </c>
      <c r="F45" s="461" t="str">
        <f ca="1">DOC</f>
        <v/>
      </c>
      <c r="G45" s="462" t="s">
        <v>327</v>
      </c>
      <c r="H45" s="463" t="s">
        <v>257</v>
      </c>
      <c r="I45" s="464">
        <v>5</v>
      </c>
      <c r="J45" s="459">
        <v>41090</v>
      </c>
      <c r="K45" s="459">
        <v>19480</v>
      </c>
      <c r="L45" s="460">
        <f ca="1">NET</f>
        <v>21610</v>
      </c>
      <c r="M45" s="222" t="str">
        <f ca="1">DL</f>
        <v>LAUT</v>
      </c>
      <c r="Q45" s="346"/>
    </row>
    <row r="46" spans="2:17" ht="15">
      <c r="B46" s="465" t="str">
        <f ca="1">SUPPAJA</f>
        <v>ERAWATI</v>
      </c>
      <c r="C46" s="338">
        <f ca="1">IF(COUNTIFS($B$3:B46,DATAKBA[[#This Row],[NAMA SUPP]],$E$3:E46,DATAKBA[[#This Row],[TANGGAL]])&lt;&gt;1,0,1)</f>
        <v>1</v>
      </c>
      <c r="D46" s="222">
        <f t="shared" ref="D46:D52" si="5">COUNTER_RUDI</f>
        <v>1</v>
      </c>
      <c r="E46" s="466">
        <v>43839</v>
      </c>
      <c r="F46" s="467" t="str">
        <f ca="1">DOC</f>
        <v>007</v>
      </c>
      <c r="G46" s="468" t="s">
        <v>220</v>
      </c>
      <c r="H46" s="469" t="s">
        <v>253</v>
      </c>
      <c r="I46" s="470">
        <v>1</v>
      </c>
      <c r="J46" s="471">
        <v>8020</v>
      </c>
      <c r="K46" s="471">
        <v>4320</v>
      </c>
      <c r="L46" s="472">
        <f ca="1">NET</f>
        <v>3700</v>
      </c>
      <c r="M46" s="222" t="str">
        <f ca="1">DL</f>
        <v>DARAT</v>
      </c>
      <c r="Q46" s="346"/>
    </row>
    <row r="47" spans="2:17" ht="15">
      <c r="B47" s="465" t="str">
        <f ca="1">SUPPAJA</f>
        <v>ERAWATI</v>
      </c>
      <c r="C47" s="338">
        <f ca="1">IF(COUNTIFS($B$3:B47,DATAKBA[[#This Row],[NAMA SUPP]],$E$3:E47,DATAKBA[[#This Row],[TANGGAL]])&lt;&gt;1,0,1)</f>
        <v>0</v>
      </c>
      <c r="D47" s="222">
        <f t="shared" si="5"/>
        <v>2</v>
      </c>
      <c r="E47" s="466">
        <v>43839</v>
      </c>
      <c r="F47" s="473" t="str">
        <f ca="1">DOC</f>
        <v/>
      </c>
      <c r="G47" s="474" t="s">
        <v>252</v>
      </c>
      <c r="H47" s="475" t="s">
        <v>253</v>
      </c>
      <c r="I47" s="476">
        <v>1</v>
      </c>
      <c r="J47" s="471">
        <v>8350</v>
      </c>
      <c r="K47" s="471">
        <v>3940</v>
      </c>
      <c r="L47" s="472">
        <f ca="1">NET</f>
        <v>4410</v>
      </c>
      <c r="M47" s="222" t="str">
        <f ca="1">DL</f>
        <v>LAUT</v>
      </c>
      <c r="Q47" s="346"/>
    </row>
    <row r="48" spans="2:17" ht="15">
      <c r="B48" s="465" t="str">
        <f ca="1">SUPPAJA</f>
        <v>INDRAYANI</v>
      </c>
      <c r="C48" s="338">
        <f ca="1">IF(COUNTIFS($B$3:B48,DATAKBA[[#This Row],[NAMA SUPP]],$E$3:E48,DATAKBA[[#This Row],[TANGGAL]])&lt;&gt;1,0,1)</f>
        <v>1</v>
      </c>
      <c r="D48" s="222">
        <f t="shared" si="5"/>
        <v>3</v>
      </c>
      <c r="E48" s="466">
        <v>43839</v>
      </c>
      <c r="F48" s="467" t="str">
        <f ca="1">DOC</f>
        <v>005</v>
      </c>
      <c r="G48" s="468" t="s">
        <v>99</v>
      </c>
      <c r="H48" s="469" t="s">
        <v>253</v>
      </c>
      <c r="I48" s="470">
        <v>1</v>
      </c>
      <c r="J48" s="471">
        <v>10650</v>
      </c>
      <c r="K48" s="471">
        <v>4130</v>
      </c>
      <c r="L48" s="472">
        <f ca="1">NET</f>
        <v>6520</v>
      </c>
      <c r="M48" s="222" t="str">
        <f ca="1">DL</f>
        <v>DARAT</v>
      </c>
      <c r="Q48" s="346"/>
    </row>
    <row r="49" spans="2:17" ht="15">
      <c r="B49" s="465" t="str">
        <f ca="1">SUPPAJA</f>
        <v>SAIRI</v>
      </c>
      <c r="C49" s="338">
        <f ca="1">IF(COUNTIFS($B$3:B49,DATAKBA[[#This Row],[NAMA SUPP]],$E$3:E49,DATAKBA[[#This Row],[TANGGAL]])&lt;&gt;1,0,1)</f>
        <v>1</v>
      </c>
      <c r="D49" s="222">
        <f t="shared" si="5"/>
        <v>4</v>
      </c>
      <c r="E49" s="466">
        <v>43839</v>
      </c>
      <c r="F49" s="473" t="str">
        <f ca="1">DOC</f>
        <v>005</v>
      </c>
      <c r="G49" s="474" t="s">
        <v>78</v>
      </c>
      <c r="H49" s="475" t="s">
        <v>267</v>
      </c>
      <c r="I49" s="476">
        <v>1</v>
      </c>
      <c r="J49" s="471">
        <v>3830</v>
      </c>
      <c r="K49" s="471">
        <v>1440</v>
      </c>
      <c r="L49" s="472">
        <f ca="1">NET</f>
        <v>2390</v>
      </c>
      <c r="M49" s="222" t="str">
        <f ca="1">DL</f>
        <v>DARAT</v>
      </c>
      <c r="Q49" s="346"/>
    </row>
    <row r="50" spans="2:17" ht="15">
      <c r="B50" s="465" t="str">
        <f ca="1">SUPPAJA</f>
        <v>MARTONO</v>
      </c>
      <c r="C50" s="338">
        <f ca="1">IF(COUNTIFS($B$3:B50,DATAKBA[[#This Row],[NAMA SUPP]],$E$3:E50,DATAKBA[[#This Row],[TANGGAL]])&lt;&gt;1,0,1)</f>
        <v>1</v>
      </c>
      <c r="D50" s="222">
        <f t="shared" si="5"/>
        <v>5</v>
      </c>
      <c r="E50" s="466">
        <v>43839</v>
      </c>
      <c r="F50" s="467" t="str">
        <f ca="1">DOC</f>
        <v>006</v>
      </c>
      <c r="G50" s="468" t="s">
        <v>279</v>
      </c>
      <c r="H50" s="469" t="s">
        <v>257</v>
      </c>
      <c r="I50" s="470">
        <v>1</v>
      </c>
      <c r="J50" s="471">
        <v>6060</v>
      </c>
      <c r="K50" s="471">
        <v>3940</v>
      </c>
      <c r="L50" s="472">
        <f ca="1">NET</f>
        <v>2120</v>
      </c>
      <c r="M50" s="222" t="str">
        <f ca="1">DL</f>
        <v>LAUT</v>
      </c>
      <c r="Q50" s="346"/>
    </row>
    <row r="51" spans="2:17" ht="15">
      <c r="B51" s="465" t="str">
        <f ca="1">SUPPAJA</f>
        <v>MASRI</v>
      </c>
      <c r="C51" s="338">
        <f ca="1">IF(COUNTIFS($B$3:B51,DATAKBA[[#This Row],[NAMA SUPP]],$E$3:E51,DATAKBA[[#This Row],[TANGGAL]])&lt;&gt;1,0,1)</f>
        <v>1</v>
      </c>
      <c r="D51" s="222">
        <f t="shared" si="5"/>
        <v>6</v>
      </c>
      <c r="E51" s="466">
        <v>43839</v>
      </c>
      <c r="F51" s="467" t="str">
        <f ca="1">DOC</f>
        <v>005</v>
      </c>
      <c r="G51" s="468" t="s">
        <v>328</v>
      </c>
      <c r="H51" s="469" t="s">
        <v>260</v>
      </c>
      <c r="I51" s="470">
        <v>19</v>
      </c>
      <c r="J51" s="471">
        <v>150850</v>
      </c>
      <c r="K51" s="471">
        <v>73200</v>
      </c>
      <c r="L51" s="472">
        <f ca="1">NET</f>
        <v>77650</v>
      </c>
      <c r="M51" s="222" t="str">
        <f ca="1">DL</f>
        <v>LAUT</v>
      </c>
      <c r="Q51" s="346"/>
    </row>
    <row r="52" spans="2:17" ht="15">
      <c r="B52" s="465" t="str">
        <f ca="1">SUPPAJA</f>
        <v>MUHAMMAD ARAB</v>
      </c>
      <c r="C52" s="338">
        <f ca="1">IF(COUNTIFS($B$3:B52,DATAKBA[[#This Row],[NAMA SUPP]],$E$3:E52,DATAKBA[[#This Row],[TANGGAL]])&lt;&gt;1,0,1)</f>
        <v>1</v>
      </c>
      <c r="D52" s="222">
        <f t="shared" si="5"/>
        <v>7</v>
      </c>
      <c r="E52" s="466">
        <v>43839</v>
      </c>
      <c r="F52" s="473" t="str">
        <f ca="1">DOC</f>
        <v>001</v>
      </c>
      <c r="G52" s="474" t="s">
        <v>329</v>
      </c>
      <c r="H52" s="475" t="s">
        <v>330</v>
      </c>
      <c r="I52" s="476">
        <v>5</v>
      </c>
      <c r="J52" s="471">
        <v>43060</v>
      </c>
      <c r="K52" s="471">
        <v>19490</v>
      </c>
      <c r="L52" s="472">
        <f ca="1">NET</f>
        <v>23570</v>
      </c>
      <c r="M52" s="222" t="str">
        <f ca="1">DL</f>
        <v>LAUT</v>
      </c>
      <c r="Q52" s="346"/>
    </row>
    <row r="53" spans="2:17" ht="15">
      <c r="B53" s="465" t="str">
        <f ca="1">SUPPAJA</f>
        <v>INDRAYANI</v>
      </c>
      <c r="C53" s="338">
        <f ca="1">IF(COUNTIFS($B$3:B53,DATAKBA[[#This Row],[NAMA SUPP]],$E$3:E53,DATAKBA[[#This Row],[TANGGAL]])&lt;&gt;1,0,1)</f>
        <v>1</v>
      </c>
      <c r="D53" s="222">
        <f t="shared" ref="D53:D60" si="6">COUNTER_RUDI</f>
        <v>1</v>
      </c>
      <c r="E53" s="466">
        <v>43840</v>
      </c>
      <c r="F53" s="467" t="str">
        <f ca="1">DOC</f>
        <v>006</v>
      </c>
      <c r="G53" s="468" t="s">
        <v>99</v>
      </c>
      <c r="H53" s="469" t="s">
        <v>253</v>
      </c>
      <c r="I53" s="470">
        <v>2</v>
      </c>
      <c r="J53" s="471">
        <v>18520</v>
      </c>
      <c r="K53" s="471">
        <v>7540</v>
      </c>
      <c r="L53" s="472">
        <f ca="1">NET</f>
        <v>10980</v>
      </c>
      <c r="M53" s="222" t="str">
        <f ca="1">DL</f>
        <v>DARAT</v>
      </c>
      <c r="Q53" s="346"/>
    </row>
    <row r="54" spans="2:17" ht="15">
      <c r="B54" s="465" t="str">
        <f ca="1">SUPPAJA</f>
        <v>SAIRI</v>
      </c>
      <c r="C54" s="338">
        <f ca="1">IF(COUNTIFS($B$3:B54,DATAKBA[[#This Row],[NAMA SUPP]],$E$3:E54,DATAKBA[[#This Row],[TANGGAL]])&lt;&gt;1,0,1)</f>
        <v>1</v>
      </c>
      <c r="D54" s="222">
        <f t="shared" si="6"/>
        <v>2</v>
      </c>
      <c r="E54" s="466">
        <v>43840</v>
      </c>
      <c r="F54" s="473" t="str">
        <f ca="1">DOC</f>
        <v>006</v>
      </c>
      <c r="G54" s="474" t="s">
        <v>78</v>
      </c>
      <c r="H54" s="475" t="s">
        <v>267</v>
      </c>
      <c r="I54" s="476">
        <v>1</v>
      </c>
      <c r="J54" s="471">
        <v>7850</v>
      </c>
      <c r="K54" s="471">
        <v>4330</v>
      </c>
      <c r="L54" s="472">
        <f ca="1">NET</f>
        <v>3520</v>
      </c>
      <c r="M54" s="222" t="str">
        <f ca="1">DL</f>
        <v>DARAT</v>
      </c>
      <c r="Q54" s="346"/>
    </row>
    <row r="55" spans="2:17" ht="15">
      <c r="B55" s="465" t="str">
        <f ca="1">SUPPAJA</f>
        <v>INDRAYANI</v>
      </c>
      <c r="C55" s="338">
        <f ca="1">IF(COUNTIFS($B$3:B55,DATAKBA[[#This Row],[NAMA SUPP]],$E$3:E55,DATAKBA[[#This Row],[TANGGAL]])&lt;&gt;1,0,1)</f>
        <v>1</v>
      </c>
      <c r="D55" s="222">
        <f t="shared" si="6"/>
        <v>1</v>
      </c>
      <c r="E55" s="466">
        <v>43841</v>
      </c>
      <c r="F55" s="473" t="str">
        <f ca="1">DOC</f>
        <v>007</v>
      </c>
      <c r="G55" s="474" t="s">
        <v>99</v>
      </c>
      <c r="H55" s="475" t="s">
        <v>253</v>
      </c>
      <c r="I55" s="476">
        <v>2</v>
      </c>
      <c r="J55" s="471">
        <v>20950</v>
      </c>
      <c r="K55" s="471">
        <v>8140</v>
      </c>
      <c r="L55" s="472">
        <f ca="1">NET</f>
        <v>12810</v>
      </c>
      <c r="M55" s="222" t="str">
        <f ca="1">DL</f>
        <v>DARAT</v>
      </c>
      <c r="Q55" s="346"/>
    </row>
    <row r="56" spans="2:17" ht="15">
      <c r="B56" s="465" t="str">
        <f ca="1">SUPPAJA</f>
        <v>ERAWATI</v>
      </c>
      <c r="C56" s="338">
        <f ca="1">IF(COUNTIFS($B$3:B56,DATAKBA[[#This Row],[NAMA SUPP]],$E$3:E56,DATAKBA[[#This Row],[TANGGAL]])&lt;&gt;1,0,1)</f>
        <v>1</v>
      </c>
      <c r="D56" s="222">
        <f t="shared" si="6"/>
        <v>2</v>
      </c>
      <c r="E56" s="466">
        <v>43841</v>
      </c>
      <c r="F56" s="467" t="str">
        <f ca="1">DOC</f>
        <v>008</v>
      </c>
      <c r="G56" s="468" t="s">
        <v>252</v>
      </c>
      <c r="H56" s="469" t="s">
        <v>253</v>
      </c>
      <c r="I56" s="470">
        <v>1</v>
      </c>
      <c r="J56" s="471">
        <v>7900</v>
      </c>
      <c r="K56" s="471">
        <v>3890</v>
      </c>
      <c r="L56" s="472">
        <f ca="1">NET</f>
        <v>4010</v>
      </c>
      <c r="M56" s="222" t="str">
        <f ca="1">DL</f>
        <v>LAUT</v>
      </c>
      <c r="Q56" s="346"/>
    </row>
    <row r="57" spans="2:17" ht="15">
      <c r="B57" s="465" t="str">
        <f ca="1">SUPPAJA</f>
        <v>MARTONO</v>
      </c>
      <c r="C57" s="338">
        <f ca="1">IF(COUNTIFS($B$3:B57,DATAKBA[[#This Row],[NAMA SUPP]],$E$3:E57,DATAKBA[[#This Row],[TANGGAL]])&lt;&gt;1,0,1)</f>
        <v>1</v>
      </c>
      <c r="D57" s="222">
        <f t="shared" si="6"/>
        <v>3</v>
      </c>
      <c r="E57" s="466">
        <v>43841</v>
      </c>
      <c r="F57" s="467" t="str">
        <f ca="1">DOC</f>
        <v>007</v>
      </c>
      <c r="G57" s="468" t="s">
        <v>256</v>
      </c>
      <c r="H57" s="469" t="s">
        <v>257</v>
      </c>
      <c r="I57" s="470">
        <v>1</v>
      </c>
      <c r="J57" s="471">
        <v>4760</v>
      </c>
      <c r="K57" s="471">
        <v>3880</v>
      </c>
      <c r="L57" s="472">
        <f ca="1">NET</f>
        <v>880</v>
      </c>
      <c r="M57" s="222" t="str">
        <f ca="1">DL</f>
        <v>LAUT</v>
      </c>
      <c r="Q57" s="346"/>
    </row>
    <row r="58" spans="2:17" ht="15">
      <c r="B58" s="465" t="str">
        <f ca="1">SUPPAJA</f>
        <v>MARTONO</v>
      </c>
      <c r="C58" s="338">
        <f ca="1">IF(COUNTIFS($B$3:B58,DATAKBA[[#This Row],[NAMA SUPP]],$E$3:E58,DATAKBA[[#This Row],[TANGGAL]])&lt;&gt;1,0,1)</f>
        <v>0</v>
      </c>
      <c r="D58" s="222">
        <f t="shared" si="6"/>
        <v>4</v>
      </c>
      <c r="E58" s="466">
        <v>43841</v>
      </c>
      <c r="F58" s="467" t="str">
        <f ca="1">DOC</f>
        <v/>
      </c>
      <c r="G58" s="468" t="s">
        <v>273</v>
      </c>
      <c r="H58" s="469" t="s">
        <v>257</v>
      </c>
      <c r="I58" s="470">
        <v>3</v>
      </c>
      <c r="J58" s="471">
        <v>22040</v>
      </c>
      <c r="K58" s="471">
        <v>11640</v>
      </c>
      <c r="L58" s="472">
        <f ca="1">NET</f>
        <v>10400</v>
      </c>
      <c r="M58" s="222" t="str">
        <f ca="1">DL</f>
        <v>LAUT</v>
      </c>
      <c r="Q58" s="346"/>
    </row>
    <row r="59" spans="2:17" ht="15">
      <c r="B59" s="465" t="str">
        <f ca="1">SUPPAJA</f>
        <v>SUKAMTO</v>
      </c>
      <c r="C59" s="338">
        <f ca="1">IF(COUNTIFS($B$3:B59,DATAKBA[[#This Row],[NAMA SUPP]],$E$3:E59,DATAKBA[[#This Row],[TANGGAL]])&lt;&gt;1,0,1)</f>
        <v>1</v>
      </c>
      <c r="D59" s="222">
        <f t="shared" si="6"/>
        <v>5</v>
      </c>
      <c r="E59" s="466">
        <v>43841</v>
      </c>
      <c r="F59" s="467" t="str">
        <f ca="1">DOC</f>
        <v>003</v>
      </c>
      <c r="G59" s="468" t="s">
        <v>274</v>
      </c>
      <c r="H59" s="469" t="s">
        <v>275</v>
      </c>
      <c r="I59" s="470">
        <v>1</v>
      </c>
      <c r="J59" s="471">
        <v>8220</v>
      </c>
      <c r="K59" s="471">
        <v>3860</v>
      </c>
      <c r="L59" s="472">
        <f ca="1">NET</f>
        <v>4360</v>
      </c>
      <c r="M59" s="222" t="str">
        <f ca="1">DL</f>
        <v>LAUT</v>
      </c>
      <c r="Q59" s="346"/>
    </row>
    <row r="60" spans="2:17" ht="15">
      <c r="B60" s="465" t="str">
        <f ca="1">SUPPAJA</f>
        <v>YANADI</v>
      </c>
      <c r="C60" s="338">
        <f ca="1">IF(COUNTIFS($B$3:B60,DATAKBA[[#This Row],[NAMA SUPP]],$E$3:E60,DATAKBA[[#This Row],[TANGGAL]])&lt;&gt;1,0,1)</f>
        <v>1</v>
      </c>
      <c r="D60" s="222">
        <f t="shared" si="6"/>
        <v>6</v>
      </c>
      <c r="E60" s="466">
        <v>43841</v>
      </c>
      <c r="F60" s="473" t="str">
        <f ca="1">DOC</f>
        <v>005</v>
      </c>
      <c r="G60" s="474" t="s">
        <v>331</v>
      </c>
      <c r="H60" s="475" t="s">
        <v>265</v>
      </c>
      <c r="I60" s="476">
        <v>1</v>
      </c>
      <c r="J60" s="471">
        <v>6540</v>
      </c>
      <c r="K60" s="471">
        <v>3810</v>
      </c>
      <c r="L60" s="472">
        <f ca="1">NET</f>
        <v>2730</v>
      </c>
      <c r="M60" s="222" t="str">
        <f ca="1">DL</f>
        <v>LAUT</v>
      </c>
      <c r="Q60" s="346"/>
    </row>
    <row r="61" spans="2:17" ht="15">
      <c r="B61" s="465" t="str">
        <f ca="1">SUPPAJA</f>
        <v>ERAWATI</v>
      </c>
      <c r="C61" s="338">
        <f ca="1">IF(COUNTIFS($B$3:B61,DATAKBA[[#This Row],[NAMA SUPP]],$E$3:E61,DATAKBA[[#This Row],[TANGGAL]])&lt;&gt;1,0,1)</f>
        <v>1</v>
      </c>
      <c r="D61" s="222">
        <f t="shared" ref="D61:D66" si="7">COUNTER_RUDI</f>
        <v>1</v>
      </c>
      <c r="E61" s="466">
        <v>43843</v>
      </c>
      <c r="F61" s="467" t="str">
        <f ca="1">DOC</f>
        <v>009</v>
      </c>
      <c r="G61" s="468" t="s">
        <v>220</v>
      </c>
      <c r="H61" s="469" t="s">
        <v>253</v>
      </c>
      <c r="I61" s="470">
        <v>3</v>
      </c>
      <c r="J61" s="471">
        <v>11190</v>
      </c>
      <c r="K61" s="471">
        <v>5760</v>
      </c>
      <c r="L61" s="472">
        <f ca="1">NET</f>
        <v>5430</v>
      </c>
      <c r="M61" s="222" t="str">
        <f ca="1">DL</f>
        <v>DARAT</v>
      </c>
      <c r="Q61" s="346"/>
    </row>
    <row r="62" spans="2:17" ht="15">
      <c r="B62" s="465" t="str">
        <f ca="1">SUPPAJA</f>
        <v>ERAWATI</v>
      </c>
      <c r="C62" s="338">
        <f ca="1">IF(COUNTIFS($B$3:B62,DATAKBA[[#This Row],[NAMA SUPP]],$E$3:E62,DATAKBA[[#This Row],[TANGGAL]])&lt;&gt;1,0,1)</f>
        <v>0</v>
      </c>
      <c r="D62" s="222">
        <f t="shared" si="7"/>
        <v>2</v>
      </c>
      <c r="E62" s="466">
        <v>43843</v>
      </c>
      <c r="F62" s="473" t="str">
        <f ca="1">DOC</f>
        <v/>
      </c>
      <c r="G62" s="474" t="s">
        <v>252</v>
      </c>
      <c r="H62" s="475" t="s">
        <v>253</v>
      </c>
      <c r="I62" s="476">
        <v>1</v>
      </c>
      <c r="J62" s="471">
        <v>8060</v>
      </c>
      <c r="K62" s="471">
        <v>3860</v>
      </c>
      <c r="L62" s="472">
        <f ca="1">NET</f>
        <v>4200</v>
      </c>
      <c r="M62" s="222" t="str">
        <f ca="1">DL</f>
        <v>LAUT</v>
      </c>
      <c r="Q62" s="346"/>
    </row>
    <row r="63" spans="2:17" ht="15">
      <c r="B63" s="465" t="str">
        <f ca="1">SUPPAJA</f>
        <v>INDRAYANI</v>
      </c>
      <c r="C63" s="338">
        <f ca="1">IF(COUNTIFS($B$3:B63,DATAKBA[[#This Row],[NAMA SUPP]],$E$3:E63,DATAKBA[[#This Row],[TANGGAL]])&lt;&gt;1,0,1)</f>
        <v>1</v>
      </c>
      <c r="D63" s="222">
        <f t="shared" si="7"/>
        <v>3</v>
      </c>
      <c r="E63" s="466">
        <v>43843</v>
      </c>
      <c r="F63" s="473" t="str">
        <f ca="1">DOC</f>
        <v>008</v>
      </c>
      <c r="G63" s="474" t="s">
        <v>99</v>
      </c>
      <c r="H63" s="475" t="s">
        <v>253</v>
      </c>
      <c r="I63" s="476">
        <v>3</v>
      </c>
      <c r="J63" s="471">
        <v>29140</v>
      </c>
      <c r="K63" s="471">
        <v>17110</v>
      </c>
      <c r="L63" s="472">
        <f ca="1">NET</f>
        <v>12030</v>
      </c>
      <c r="M63" s="222" t="str">
        <f ca="1">DL</f>
        <v>DARAT</v>
      </c>
      <c r="Q63" s="346"/>
    </row>
    <row r="64" spans="2:17" ht="15">
      <c r="B64" s="465" t="str">
        <f ca="1">SUPPAJA</f>
        <v>DINI CHAIRANI</v>
      </c>
      <c r="C64" s="338">
        <f ca="1">IF(COUNTIFS($B$3:B64,DATAKBA[[#This Row],[NAMA SUPP]],$E$3:E64,DATAKBA[[#This Row],[TANGGAL]])&lt;&gt;1,0,1)</f>
        <v>1</v>
      </c>
      <c r="D64" s="222">
        <f t="shared" si="7"/>
        <v>4</v>
      </c>
      <c r="E64" s="466">
        <v>43843</v>
      </c>
      <c r="F64" s="473" t="str">
        <f ca="1">DOC</f>
        <v>003</v>
      </c>
      <c r="G64" s="474" t="s">
        <v>228</v>
      </c>
      <c r="H64" s="475" t="s">
        <v>268</v>
      </c>
      <c r="I64" s="476">
        <v>1</v>
      </c>
      <c r="J64" s="471">
        <v>7260</v>
      </c>
      <c r="K64" s="471">
        <v>3910</v>
      </c>
      <c r="L64" s="472">
        <f ca="1">NET</f>
        <v>3350</v>
      </c>
      <c r="M64" s="222" t="str">
        <f ca="1">DL</f>
        <v>LAUT</v>
      </c>
      <c r="Q64" s="346"/>
    </row>
    <row r="65" spans="2:17" ht="15">
      <c r="B65" s="465" t="str">
        <f ca="1">SUPPAJA</f>
        <v>HENDRI</v>
      </c>
      <c r="C65" s="338">
        <f ca="1">IF(COUNTIFS($B$3:B65,DATAKBA[[#This Row],[NAMA SUPP]],$E$3:E65,DATAKBA[[#This Row],[TANGGAL]])&lt;&gt;1,0,1)</f>
        <v>1</v>
      </c>
      <c r="D65" s="222">
        <f t="shared" si="7"/>
        <v>5</v>
      </c>
      <c r="E65" s="466">
        <v>43843</v>
      </c>
      <c r="F65" s="467" t="str">
        <f ca="1">DOC</f>
        <v>004</v>
      </c>
      <c r="G65" s="468" t="s">
        <v>332</v>
      </c>
      <c r="H65" s="469" t="s">
        <v>255</v>
      </c>
      <c r="I65" s="470">
        <v>1</v>
      </c>
      <c r="J65" s="471">
        <v>8550</v>
      </c>
      <c r="K65" s="471">
        <v>3900</v>
      </c>
      <c r="L65" s="472">
        <f ca="1">NET</f>
        <v>4650</v>
      </c>
      <c r="M65" s="222" t="str">
        <f ca="1">DL</f>
        <v>LAUT</v>
      </c>
      <c r="Q65" s="346"/>
    </row>
    <row r="66" spans="2:17" ht="15">
      <c r="B66" s="465" t="str">
        <f ca="1">SUPPAJA</f>
        <v>MASRI</v>
      </c>
      <c r="C66" s="338">
        <f ca="1">IF(COUNTIFS($B$3:B66,DATAKBA[[#This Row],[NAMA SUPP]],$E$3:E66,DATAKBA[[#This Row],[TANGGAL]])&lt;&gt;1,0,1)</f>
        <v>1</v>
      </c>
      <c r="D66" s="222">
        <f t="shared" si="7"/>
        <v>6</v>
      </c>
      <c r="E66" s="466">
        <v>43843</v>
      </c>
      <c r="F66" s="473" t="str">
        <f ca="1">DOC</f>
        <v>006</v>
      </c>
      <c r="G66" s="474" t="s">
        <v>333</v>
      </c>
      <c r="H66" s="475" t="s">
        <v>260</v>
      </c>
      <c r="I66" s="476">
        <v>25</v>
      </c>
      <c r="J66" s="471">
        <v>215820</v>
      </c>
      <c r="K66" s="471">
        <v>96780</v>
      </c>
      <c r="L66" s="472">
        <f ca="1">NET</f>
        <v>119040</v>
      </c>
      <c r="M66" s="222" t="str">
        <f ca="1">DL</f>
        <v>LAUT</v>
      </c>
      <c r="Q66" s="346"/>
    </row>
    <row r="67" spans="2:17" ht="15">
      <c r="B67" s="465" t="str">
        <f ca="1">SUPPAJA</f>
        <v>INDRAYANI</v>
      </c>
      <c r="C67" s="338">
        <f ca="1">IF(COUNTIFS($B$3:B67,DATAKBA[[#This Row],[NAMA SUPP]],$E$3:E67,DATAKBA[[#This Row],[TANGGAL]])&lt;&gt;1,0,1)</f>
        <v>1</v>
      </c>
      <c r="D67" s="222">
        <f t="shared" ref="D67:D72" si="8">COUNTER_RUDI</f>
        <v>1</v>
      </c>
      <c r="E67" s="466">
        <v>43844</v>
      </c>
      <c r="F67" s="473" t="str">
        <f ca="1">DOC</f>
        <v>009</v>
      </c>
      <c r="G67" s="474" t="s">
        <v>99</v>
      </c>
      <c r="H67" s="475" t="s">
        <v>253</v>
      </c>
      <c r="I67" s="476">
        <v>2</v>
      </c>
      <c r="J67" s="471">
        <v>17320</v>
      </c>
      <c r="K67" s="471">
        <v>7790</v>
      </c>
      <c r="L67" s="472">
        <f ca="1">NET</f>
        <v>9530</v>
      </c>
      <c r="M67" s="222" t="str">
        <f ca="1">DL</f>
        <v>DARAT</v>
      </c>
      <c r="Q67" s="346"/>
    </row>
    <row r="68" spans="2:17" ht="15">
      <c r="B68" s="465" t="str">
        <f ca="1">SUPPAJA</f>
        <v>DINI CHAIRANI</v>
      </c>
      <c r="C68" s="338">
        <f ca="1">IF(COUNTIFS($B$3:B68,DATAKBA[[#This Row],[NAMA SUPP]],$E$3:E68,DATAKBA[[#This Row],[TANGGAL]])&lt;&gt;1,0,1)</f>
        <v>1</v>
      </c>
      <c r="D68" s="222">
        <f t="shared" si="8"/>
        <v>2</v>
      </c>
      <c r="E68" s="466">
        <v>43844</v>
      </c>
      <c r="F68" s="467" t="str">
        <f ca="1">DOC</f>
        <v>004</v>
      </c>
      <c r="G68" s="468" t="s">
        <v>334</v>
      </c>
      <c r="H68" s="469" t="s">
        <v>268</v>
      </c>
      <c r="I68" s="470">
        <v>2</v>
      </c>
      <c r="J68" s="471">
        <v>15200</v>
      </c>
      <c r="K68" s="471">
        <v>7810</v>
      </c>
      <c r="L68" s="472">
        <f ca="1">NET</f>
        <v>7390</v>
      </c>
      <c r="M68" s="222" t="str">
        <f ca="1">DL</f>
        <v>LAUT</v>
      </c>
      <c r="Q68" s="346"/>
    </row>
    <row r="69" spans="2:17" ht="15">
      <c r="B69" s="465" t="str">
        <f ca="1">SUPPAJA</f>
        <v>HENDRI</v>
      </c>
      <c r="C69" s="338">
        <f ca="1">IF(COUNTIFS($B$3:B69,DATAKBA[[#This Row],[NAMA SUPP]],$E$3:E69,DATAKBA[[#This Row],[TANGGAL]])&lt;&gt;1,0,1)</f>
        <v>1</v>
      </c>
      <c r="D69" s="222">
        <f t="shared" si="8"/>
        <v>3</v>
      </c>
      <c r="E69" s="466">
        <v>43844</v>
      </c>
      <c r="F69" s="467" t="str">
        <f ca="1">DOC</f>
        <v>005</v>
      </c>
      <c r="G69" s="468" t="s">
        <v>277</v>
      </c>
      <c r="H69" s="469" t="s">
        <v>255</v>
      </c>
      <c r="I69" s="470">
        <v>5</v>
      </c>
      <c r="J69" s="471">
        <v>43520</v>
      </c>
      <c r="K69" s="471">
        <v>19610</v>
      </c>
      <c r="L69" s="472">
        <f ca="1">NET</f>
        <v>23910</v>
      </c>
      <c r="M69" s="222" t="str">
        <f ca="1">DL</f>
        <v>LAUT</v>
      </c>
      <c r="Q69" s="346"/>
    </row>
    <row r="70" spans="2:17" ht="15">
      <c r="B70" s="465" t="str">
        <f ca="1">SUPPAJA</f>
        <v>HENDRI</v>
      </c>
      <c r="C70" s="338">
        <f ca="1">IF(COUNTIFS($B$3:B70,DATAKBA[[#This Row],[NAMA SUPP]],$E$3:E70,DATAKBA[[#This Row],[TANGGAL]])&lt;&gt;1,0,1)</f>
        <v>0</v>
      </c>
      <c r="D70" s="222">
        <f t="shared" si="8"/>
        <v>4</v>
      </c>
      <c r="E70" s="466">
        <v>43844</v>
      </c>
      <c r="F70" s="467" t="str">
        <f ca="1">DOC</f>
        <v/>
      </c>
      <c r="G70" s="468" t="s">
        <v>254</v>
      </c>
      <c r="H70" s="469" t="s">
        <v>255</v>
      </c>
      <c r="I70" s="470">
        <v>2</v>
      </c>
      <c r="J70" s="471">
        <v>18050</v>
      </c>
      <c r="K70" s="471">
        <v>7660</v>
      </c>
      <c r="L70" s="472">
        <f ca="1">NET</f>
        <v>10390</v>
      </c>
      <c r="M70" s="222" t="str">
        <f ca="1">DL</f>
        <v>LAUT</v>
      </c>
      <c r="Q70" s="346"/>
    </row>
    <row r="71" spans="2:17" ht="15">
      <c r="B71" s="465" t="str">
        <f ca="1">SUPPAJA</f>
        <v>MARTONO</v>
      </c>
      <c r="C71" s="338">
        <f ca="1">IF(COUNTIFS($B$3:B71,DATAKBA[[#This Row],[NAMA SUPP]],$E$3:E71,DATAKBA[[#This Row],[TANGGAL]])&lt;&gt;1,0,1)</f>
        <v>1</v>
      </c>
      <c r="D71" s="222">
        <f t="shared" si="8"/>
        <v>5</v>
      </c>
      <c r="E71" s="466">
        <v>43844</v>
      </c>
      <c r="F71" s="467" t="str">
        <f ca="1">DOC</f>
        <v>008</v>
      </c>
      <c r="G71" s="468" t="s">
        <v>271</v>
      </c>
      <c r="H71" s="469" t="s">
        <v>257</v>
      </c>
      <c r="I71" s="470">
        <v>2</v>
      </c>
      <c r="J71" s="471">
        <v>16550</v>
      </c>
      <c r="K71" s="471">
        <v>7770</v>
      </c>
      <c r="L71" s="472">
        <f ca="1">NET</f>
        <v>8780</v>
      </c>
      <c r="M71" s="222" t="str">
        <f ca="1">DL</f>
        <v>LAUT</v>
      </c>
      <c r="Q71" s="346"/>
    </row>
    <row r="72" spans="2:17" ht="15">
      <c r="B72" s="465" t="str">
        <f ca="1">SUPPAJA</f>
        <v>RITA ERNITA</v>
      </c>
      <c r="C72" s="338">
        <f ca="1">IF(COUNTIFS($B$3:B72,DATAKBA[[#This Row],[NAMA SUPP]],$E$3:E72,DATAKBA[[#This Row],[TANGGAL]])&lt;&gt;1,0,1)</f>
        <v>1</v>
      </c>
      <c r="D72" s="222">
        <f t="shared" si="8"/>
        <v>6</v>
      </c>
      <c r="E72" s="466">
        <v>43844</v>
      </c>
      <c r="F72" s="473" t="str">
        <f ca="1">DOC</f>
        <v>002</v>
      </c>
      <c r="G72" s="474" t="s">
        <v>266</v>
      </c>
      <c r="H72" s="475" t="s">
        <v>263</v>
      </c>
      <c r="I72" s="476">
        <v>9</v>
      </c>
      <c r="J72" s="471">
        <v>74030</v>
      </c>
      <c r="K72" s="471">
        <v>34980</v>
      </c>
      <c r="L72" s="472">
        <f ca="1">NET</f>
        <v>39050</v>
      </c>
      <c r="M72" s="222" t="str">
        <f ca="1">DL</f>
        <v>LAUT</v>
      </c>
      <c r="Q72" s="346"/>
    </row>
    <row r="73" spans="2:17" ht="15">
      <c r="B73" s="465" t="str">
        <f ca="1">SUPPAJA</f>
        <v>ERAWATI</v>
      </c>
      <c r="C73" s="338">
        <f ca="1">IF(COUNTIFS($B$3:B73,DATAKBA[[#This Row],[NAMA SUPP]],$E$3:E73,DATAKBA[[#This Row],[TANGGAL]])&lt;&gt;1,0,1)</f>
        <v>1</v>
      </c>
      <c r="D73" s="222">
        <f t="shared" ref="D73:D79" si="9">COUNTER_RUDI</f>
        <v>1</v>
      </c>
      <c r="E73" s="466">
        <v>43845</v>
      </c>
      <c r="F73" s="467" t="str">
        <f ca="1">DOC</f>
        <v>010</v>
      </c>
      <c r="G73" s="468" t="s">
        <v>220</v>
      </c>
      <c r="H73" s="469" t="s">
        <v>253</v>
      </c>
      <c r="I73" s="470">
        <v>1</v>
      </c>
      <c r="J73" s="471">
        <v>8640</v>
      </c>
      <c r="K73" s="471">
        <v>4870</v>
      </c>
      <c r="L73" s="472">
        <f ca="1">NET</f>
        <v>3770</v>
      </c>
      <c r="M73" s="222" t="str">
        <f ca="1">DL</f>
        <v>DARAT</v>
      </c>
      <c r="Q73" s="346"/>
    </row>
    <row r="74" spans="2:17" ht="15">
      <c r="B74" s="465" t="str">
        <f ca="1">SUPPAJA</f>
        <v>SAIRI</v>
      </c>
      <c r="C74" s="338">
        <f ca="1">IF(COUNTIFS($B$3:B74,DATAKBA[[#This Row],[NAMA SUPP]],$E$3:E74,DATAKBA[[#This Row],[TANGGAL]])&lt;&gt;1,0,1)</f>
        <v>1</v>
      </c>
      <c r="D74" s="222">
        <f t="shared" si="9"/>
        <v>2</v>
      </c>
      <c r="E74" s="466">
        <v>43845</v>
      </c>
      <c r="F74" s="473" t="str">
        <f ca="1">DOC</f>
        <v>007</v>
      </c>
      <c r="G74" s="474" t="s">
        <v>78</v>
      </c>
      <c r="H74" s="475" t="s">
        <v>267</v>
      </c>
      <c r="I74" s="476">
        <v>1</v>
      </c>
      <c r="J74" s="471">
        <v>3920</v>
      </c>
      <c r="K74" s="471">
        <v>1620</v>
      </c>
      <c r="L74" s="472">
        <f ca="1">NET</f>
        <v>2300</v>
      </c>
      <c r="M74" s="222" t="str">
        <f ca="1">DL</f>
        <v>DARAT</v>
      </c>
      <c r="Q74" s="346"/>
    </row>
    <row r="75" spans="2:17" ht="15">
      <c r="B75" s="465" t="str">
        <f ca="1">SUPPAJA</f>
        <v>HENDRI</v>
      </c>
      <c r="C75" s="338">
        <f ca="1">IF(COUNTIFS($B$3:B75,DATAKBA[[#This Row],[NAMA SUPP]],$E$3:E75,DATAKBA[[#This Row],[TANGGAL]])&lt;&gt;1,0,1)</f>
        <v>1</v>
      </c>
      <c r="D75" s="222">
        <f t="shared" si="9"/>
        <v>3</v>
      </c>
      <c r="E75" s="466">
        <v>43845</v>
      </c>
      <c r="F75" s="467" t="str">
        <f ca="1">DOC</f>
        <v>006</v>
      </c>
      <c r="G75" s="468" t="s">
        <v>335</v>
      </c>
      <c r="H75" s="469" t="s">
        <v>255</v>
      </c>
      <c r="I75" s="470">
        <v>4</v>
      </c>
      <c r="J75" s="471">
        <v>32700</v>
      </c>
      <c r="K75" s="471">
        <v>15650</v>
      </c>
      <c r="L75" s="472">
        <f ca="1">NET</f>
        <v>17050</v>
      </c>
      <c r="M75" s="222" t="str">
        <f ca="1">DL</f>
        <v>LAUT</v>
      </c>
      <c r="Q75" s="346"/>
    </row>
    <row r="76" spans="2:17" ht="15">
      <c r="B76" s="465" t="str">
        <f ca="1">SUPPAJA</f>
        <v>MARTONO</v>
      </c>
      <c r="C76" s="338">
        <f ca="1">IF(COUNTIFS($B$3:B76,DATAKBA[[#This Row],[NAMA SUPP]],$E$3:E76,DATAKBA[[#This Row],[TANGGAL]])&lt;&gt;1,0,1)</f>
        <v>1</v>
      </c>
      <c r="D76" s="222">
        <f t="shared" si="9"/>
        <v>4</v>
      </c>
      <c r="E76" s="466">
        <v>43845</v>
      </c>
      <c r="F76" s="467" t="str">
        <f ca="1">DOC</f>
        <v>009</v>
      </c>
      <c r="G76" s="468" t="s">
        <v>326</v>
      </c>
      <c r="H76" s="469" t="s">
        <v>257</v>
      </c>
      <c r="I76" s="470">
        <v>4</v>
      </c>
      <c r="J76" s="471">
        <v>33410</v>
      </c>
      <c r="K76" s="471">
        <v>15570</v>
      </c>
      <c r="L76" s="472">
        <f ca="1">NET</f>
        <v>17840</v>
      </c>
      <c r="M76" s="222" t="str">
        <f ca="1">DL</f>
        <v>LAUT</v>
      </c>
      <c r="Q76" s="346"/>
    </row>
    <row r="77" spans="2:17" ht="15">
      <c r="B77" s="465" t="str">
        <f ca="1">SUPPAJA</f>
        <v>MASRI</v>
      </c>
      <c r="C77" s="338">
        <f ca="1">IF(COUNTIFS($B$3:B77,DATAKBA[[#This Row],[NAMA SUPP]],$E$3:E77,DATAKBA[[#This Row],[TANGGAL]])&lt;&gt;1,0,1)</f>
        <v>1</v>
      </c>
      <c r="D77" s="222">
        <f t="shared" si="9"/>
        <v>5</v>
      </c>
      <c r="E77" s="466">
        <v>43845</v>
      </c>
      <c r="F77" s="467" t="str">
        <f ca="1">DOC</f>
        <v>007</v>
      </c>
      <c r="G77" s="468" t="s">
        <v>336</v>
      </c>
      <c r="H77" s="469" t="s">
        <v>260</v>
      </c>
      <c r="I77" s="470">
        <v>16</v>
      </c>
      <c r="J77" s="471">
        <v>135340</v>
      </c>
      <c r="K77" s="471">
        <v>62350</v>
      </c>
      <c r="L77" s="472">
        <f ca="1">NET</f>
        <v>72990</v>
      </c>
      <c r="M77" s="222" t="str">
        <f ca="1">DL</f>
        <v>LAUT</v>
      </c>
      <c r="Q77" s="346"/>
    </row>
    <row r="78" spans="2:17" ht="15">
      <c r="B78" s="465" t="str">
        <f ca="1">SUPPAJA</f>
        <v>MASRI</v>
      </c>
      <c r="C78" s="338">
        <f ca="1">IF(COUNTIFS($B$3:B78,DATAKBA[[#This Row],[NAMA SUPP]],$E$3:E78,DATAKBA[[#This Row],[TANGGAL]])&lt;&gt;1,0,1)</f>
        <v>0</v>
      </c>
      <c r="D78" s="222">
        <f t="shared" si="9"/>
        <v>6</v>
      </c>
      <c r="E78" s="466">
        <v>43845</v>
      </c>
      <c r="F78" s="467" t="str">
        <f ca="1">DOC</f>
        <v/>
      </c>
      <c r="G78" s="468" t="s">
        <v>337</v>
      </c>
      <c r="H78" s="469" t="s">
        <v>260</v>
      </c>
      <c r="I78" s="470">
        <v>12</v>
      </c>
      <c r="J78" s="471">
        <v>98560</v>
      </c>
      <c r="K78" s="471">
        <v>46800</v>
      </c>
      <c r="L78" s="472">
        <f ca="1">NET</f>
        <v>51760</v>
      </c>
      <c r="M78" s="222" t="str">
        <f ca="1">DL</f>
        <v>LAUT</v>
      </c>
      <c r="Q78" s="346"/>
    </row>
    <row r="79" spans="2:17" ht="15">
      <c r="B79" s="465" t="str">
        <f ca="1">SUPPAJA</f>
        <v>SUKAMTO</v>
      </c>
      <c r="C79" s="338">
        <f ca="1">IF(COUNTIFS($B$3:B79,DATAKBA[[#This Row],[NAMA SUPP]],$E$3:E79,DATAKBA[[#This Row],[TANGGAL]])&lt;&gt;1,0,1)</f>
        <v>1</v>
      </c>
      <c r="D79" s="222">
        <f t="shared" si="9"/>
        <v>7</v>
      </c>
      <c r="E79" s="466">
        <v>43845</v>
      </c>
      <c r="F79" s="467" t="str">
        <f ca="1">DOC</f>
        <v>004</v>
      </c>
      <c r="G79" s="474" t="s">
        <v>274</v>
      </c>
      <c r="H79" s="475" t="s">
        <v>275</v>
      </c>
      <c r="I79" s="476">
        <v>1</v>
      </c>
      <c r="J79" s="471">
        <v>8100</v>
      </c>
      <c r="K79" s="471">
        <v>3920</v>
      </c>
      <c r="L79" s="472">
        <f ca="1">NET</f>
        <v>4180</v>
      </c>
      <c r="M79" s="222" t="str">
        <f ca="1">DL</f>
        <v>LAUT</v>
      </c>
      <c r="Q79" s="346"/>
    </row>
    <row r="80" spans="2:17" ht="15">
      <c r="B80" s="465" t="str">
        <f ca="1">SUPPAJA</f>
        <v>INDRAYANI</v>
      </c>
      <c r="C80" s="338">
        <f ca="1">IF(COUNTIFS($B$3:B80,DATAKBA[[#This Row],[NAMA SUPP]],$E$3:E80,DATAKBA[[#This Row],[TANGGAL]])&lt;&gt;1,0,1)</f>
        <v>1</v>
      </c>
      <c r="D80" s="222">
        <f t="shared" ref="D80:D86" si="10">COUNTER_RUDI</f>
        <v>1</v>
      </c>
      <c r="E80" s="466">
        <v>43846</v>
      </c>
      <c r="F80" s="467" t="str">
        <f ca="1">DOC</f>
        <v>010</v>
      </c>
      <c r="G80" s="474" t="s">
        <v>99</v>
      </c>
      <c r="H80" s="475" t="s">
        <v>253</v>
      </c>
      <c r="I80" s="476">
        <v>1</v>
      </c>
      <c r="J80" s="471">
        <v>10680</v>
      </c>
      <c r="K80" s="471">
        <v>3330</v>
      </c>
      <c r="L80" s="472">
        <v>7350</v>
      </c>
      <c r="M80" s="222" t="str">
        <f ca="1">DL</f>
        <v>DARAT</v>
      </c>
      <c r="Q80" s="346"/>
    </row>
    <row r="81" spans="2:17" ht="15">
      <c r="B81" s="465" t="str">
        <f ca="1">SUPPAJA</f>
        <v>DINI CHAIRANI</v>
      </c>
      <c r="C81" s="338">
        <f ca="1">IF(COUNTIFS($B$3:B81,DATAKBA[[#This Row],[NAMA SUPP]],$E$3:E81,DATAKBA[[#This Row],[TANGGAL]])&lt;&gt;1,0,1)</f>
        <v>1</v>
      </c>
      <c r="D81" s="222">
        <f t="shared" si="10"/>
        <v>2</v>
      </c>
      <c r="E81" s="466">
        <v>43846</v>
      </c>
      <c r="F81" s="467" t="str">
        <f ca="1">DOC</f>
        <v>005</v>
      </c>
      <c r="G81" s="474" t="s">
        <v>276</v>
      </c>
      <c r="H81" s="475" t="s">
        <v>268</v>
      </c>
      <c r="I81" s="476">
        <v>1</v>
      </c>
      <c r="J81" s="471">
        <v>5650</v>
      </c>
      <c r="K81" s="471">
        <v>3910</v>
      </c>
      <c r="L81" s="472">
        <v>1740</v>
      </c>
      <c r="M81" s="222" t="str">
        <f ca="1">DL</f>
        <v>LAUT</v>
      </c>
      <c r="Q81" s="346"/>
    </row>
    <row r="82" spans="2:17" ht="15">
      <c r="B82" s="465" t="str">
        <f ca="1">SUPPAJA</f>
        <v>ERAWATI</v>
      </c>
      <c r="C82" s="338">
        <f ca="1">IF(COUNTIFS($B$3:B82,DATAKBA[[#This Row],[NAMA SUPP]],$E$3:E82,DATAKBA[[#This Row],[TANGGAL]])&lt;&gt;1,0,1)</f>
        <v>1</v>
      </c>
      <c r="D82" s="222">
        <f t="shared" si="10"/>
        <v>3</v>
      </c>
      <c r="E82" s="466">
        <v>43846</v>
      </c>
      <c r="F82" s="467" t="str">
        <f ca="1">DOC</f>
        <v>011</v>
      </c>
      <c r="G82" s="474" t="s">
        <v>252</v>
      </c>
      <c r="H82" s="475" t="s">
        <v>253</v>
      </c>
      <c r="I82" s="476">
        <v>1</v>
      </c>
      <c r="J82" s="471">
        <v>6740</v>
      </c>
      <c r="K82" s="471">
        <v>3880</v>
      </c>
      <c r="L82" s="472">
        <v>2860</v>
      </c>
      <c r="M82" s="222" t="str">
        <f ca="1">DL</f>
        <v>LAUT</v>
      </c>
      <c r="Q82" s="346"/>
    </row>
    <row r="83" spans="2:17" ht="15">
      <c r="B83" s="465" t="str">
        <f ca="1">SUPPAJA</f>
        <v>ERAWATI</v>
      </c>
      <c r="C83" s="338">
        <f ca="1">IF(COUNTIFS($B$3:B83,DATAKBA[[#This Row],[NAMA SUPP]],$E$3:E83,DATAKBA[[#This Row],[TANGGAL]])&lt;&gt;1,0,1)</f>
        <v>1</v>
      </c>
      <c r="D83" s="222">
        <f t="shared" si="10"/>
        <v>1</v>
      </c>
      <c r="E83" s="466">
        <v>43847</v>
      </c>
      <c r="F83" s="467" t="str">
        <f ca="1">DOC</f>
        <v>012</v>
      </c>
      <c r="G83" s="474" t="s">
        <v>220</v>
      </c>
      <c r="H83" s="475" t="s">
        <v>253</v>
      </c>
      <c r="I83" s="476">
        <v>1</v>
      </c>
      <c r="J83" s="471">
        <v>11160</v>
      </c>
      <c r="K83" s="471">
        <v>4520</v>
      </c>
      <c r="L83" s="472">
        <f ca="1">NET</f>
        <v>6640</v>
      </c>
      <c r="M83" s="222" t="str">
        <f ca="1">DL</f>
        <v>DARAT</v>
      </c>
      <c r="Q83" s="346"/>
    </row>
    <row r="84" spans="2:17" ht="15">
      <c r="B84" s="465" t="str">
        <f ca="1">SUPPAJA</f>
        <v>ERAWATI</v>
      </c>
      <c r="C84" s="338">
        <f ca="1">IF(COUNTIFS($B$3:B84,DATAKBA[[#This Row],[NAMA SUPP]],$E$3:E84,DATAKBA[[#This Row],[TANGGAL]])&lt;&gt;1,0,1)</f>
        <v>0</v>
      </c>
      <c r="D84" s="222">
        <f t="shared" si="10"/>
        <v>2</v>
      </c>
      <c r="E84" s="466">
        <v>43847</v>
      </c>
      <c r="F84" s="467" t="str">
        <f ca="1">DOC</f>
        <v/>
      </c>
      <c r="G84" s="474" t="s">
        <v>252</v>
      </c>
      <c r="H84" s="475" t="s">
        <v>253</v>
      </c>
      <c r="I84" s="476">
        <v>1</v>
      </c>
      <c r="J84" s="471">
        <v>6910</v>
      </c>
      <c r="K84" s="471">
        <v>3910</v>
      </c>
      <c r="L84" s="472">
        <f ca="1">NET</f>
        <v>3000</v>
      </c>
      <c r="M84" s="222" t="str">
        <f ca="1">DL</f>
        <v>LAUT</v>
      </c>
      <c r="Q84" s="346"/>
    </row>
    <row r="85" spans="2:17" ht="15">
      <c r="B85" s="465" t="str">
        <f ca="1">SUPPAJA</f>
        <v>SAIRI</v>
      </c>
      <c r="C85" s="338">
        <f ca="1">IF(COUNTIFS($B$3:B85,DATAKBA[[#This Row],[NAMA SUPP]],$E$3:E85,DATAKBA[[#This Row],[TANGGAL]])&lt;&gt;1,0,1)</f>
        <v>1</v>
      </c>
      <c r="D85" s="222">
        <f t="shared" si="10"/>
        <v>3</v>
      </c>
      <c r="E85" s="466">
        <v>43847</v>
      </c>
      <c r="F85" s="467" t="str">
        <f ca="1">DOC</f>
        <v>008</v>
      </c>
      <c r="G85" s="474" t="s">
        <v>78</v>
      </c>
      <c r="H85" s="475" t="s">
        <v>267</v>
      </c>
      <c r="I85" s="476">
        <v>2</v>
      </c>
      <c r="J85" s="471">
        <f>4690+3560</f>
        <v>8250</v>
      </c>
      <c r="K85" s="471">
        <f>1660+2630</f>
        <v>4290</v>
      </c>
      <c r="L85" s="472">
        <f ca="1">NET</f>
        <v>3960</v>
      </c>
      <c r="M85" s="222" t="str">
        <f ca="1">DL</f>
        <v>DARAT</v>
      </c>
      <c r="Q85" s="346"/>
    </row>
    <row r="86" spans="2:17" ht="15">
      <c r="B86" s="465" t="str">
        <f ca="1">SUPPAJA</f>
        <v>DINI CHAIRANI</v>
      </c>
      <c r="C86" s="338">
        <f ca="1">IF(COUNTIFS($B$3:B86,DATAKBA[[#This Row],[NAMA SUPP]],$E$3:E86,DATAKBA[[#This Row],[TANGGAL]])&lt;&gt;1,0,1)</f>
        <v>1</v>
      </c>
      <c r="D86" s="222">
        <f t="shared" si="10"/>
        <v>4</v>
      </c>
      <c r="E86" s="466">
        <v>43847</v>
      </c>
      <c r="F86" s="467" t="str">
        <f ca="1">DOC</f>
        <v>006</v>
      </c>
      <c r="G86" s="474" t="s">
        <v>338</v>
      </c>
      <c r="H86" s="475" t="s">
        <v>268</v>
      </c>
      <c r="I86" s="476">
        <v>1</v>
      </c>
      <c r="J86" s="471">
        <v>6970</v>
      </c>
      <c r="K86" s="471">
        <v>3900</v>
      </c>
      <c r="L86" s="472">
        <f ca="1">NET</f>
        <v>3070</v>
      </c>
      <c r="M86" s="222" t="str">
        <f ca="1">DL</f>
        <v>LAUT</v>
      </c>
      <c r="Q86" s="346"/>
    </row>
    <row r="87" spans="2:17" ht="15">
      <c r="B87" s="465" t="str">
        <f ca="1">SUPPAJA</f>
        <v>ERAWATI</v>
      </c>
      <c r="C87" s="338">
        <f ca="1">IF(COUNTIFS($B$3:B87,DATAKBA[[#This Row],[NAMA SUPP]],$E$3:E87,DATAKBA[[#This Row],[TANGGAL]])&lt;&gt;1,0,1)</f>
        <v>1</v>
      </c>
      <c r="D87" s="222">
        <f t="shared" ref="D87:D105" si="11">COUNTER_RUDI</f>
        <v>1</v>
      </c>
      <c r="E87" s="466">
        <v>43848</v>
      </c>
      <c r="F87" s="473" t="str">
        <f ca="1">DOC</f>
        <v>013</v>
      </c>
      <c r="G87" s="474" t="s">
        <v>220</v>
      </c>
      <c r="H87" s="475" t="s">
        <v>253</v>
      </c>
      <c r="I87" s="476">
        <v>2</v>
      </c>
      <c r="J87" s="471">
        <f>9900+10090</f>
        <v>19990</v>
      </c>
      <c r="K87" s="471">
        <f>4280+4460</f>
        <v>8740</v>
      </c>
      <c r="L87" s="472">
        <f ca="1">NET</f>
        <v>11250</v>
      </c>
      <c r="M87" s="222" t="str">
        <f ca="1">DL</f>
        <v>DARAT</v>
      </c>
      <c r="Q87" s="346"/>
    </row>
    <row r="88" spans="2:17" ht="15">
      <c r="B88" s="465" t="str">
        <f ca="1">SUPPAJA</f>
        <v>ERAWATI</v>
      </c>
      <c r="C88" s="338">
        <f ca="1">IF(COUNTIFS($B$3:B88,DATAKBA[[#This Row],[NAMA SUPP]],$E$3:E88,DATAKBA[[#This Row],[TANGGAL]])&lt;&gt;1,0,1)</f>
        <v>0</v>
      </c>
      <c r="D88" s="222">
        <f t="shared" si="11"/>
        <v>2</v>
      </c>
      <c r="E88" s="466">
        <v>43848</v>
      </c>
      <c r="F88" s="473" t="str">
        <f ca="1">DOC</f>
        <v/>
      </c>
      <c r="G88" s="474" t="s">
        <v>252</v>
      </c>
      <c r="H88" s="475" t="s">
        <v>253</v>
      </c>
      <c r="I88" s="476">
        <v>1</v>
      </c>
      <c r="J88" s="471">
        <v>8220</v>
      </c>
      <c r="K88" s="471">
        <v>3910</v>
      </c>
      <c r="L88" s="472">
        <f ca="1">NET</f>
        <v>4310</v>
      </c>
      <c r="M88" s="222" t="str">
        <f ca="1">DL</f>
        <v>LAUT</v>
      </c>
      <c r="Q88" s="346"/>
    </row>
    <row r="89" spans="2:17" ht="15">
      <c r="B89" s="465" t="str">
        <f ca="1">SUPPAJA</f>
        <v>INDRAYANI</v>
      </c>
      <c r="C89" s="338">
        <f ca="1">IF(COUNTIFS($B$3:B89,DATAKBA[[#This Row],[NAMA SUPP]],$E$3:E89,DATAKBA[[#This Row],[TANGGAL]])&lt;&gt;1,0,1)</f>
        <v>1</v>
      </c>
      <c r="D89" s="222">
        <f t="shared" si="11"/>
        <v>3</v>
      </c>
      <c r="E89" s="466">
        <v>43848</v>
      </c>
      <c r="F89" s="473" t="str">
        <f ca="1">DOC</f>
        <v>011</v>
      </c>
      <c r="G89" s="474" t="s">
        <v>99</v>
      </c>
      <c r="H89" s="475" t="s">
        <v>253</v>
      </c>
      <c r="I89" s="476">
        <v>1</v>
      </c>
      <c r="J89" s="471">
        <v>9800</v>
      </c>
      <c r="K89" s="471">
        <v>8630</v>
      </c>
      <c r="L89" s="472">
        <f ca="1">NET</f>
        <v>1170</v>
      </c>
      <c r="M89" s="222" t="str">
        <f ca="1">DL</f>
        <v>DARAT</v>
      </c>
      <c r="Q89" s="346"/>
    </row>
    <row r="90" spans="2:17" ht="15">
      <c r="B90" s="465" t="str">
        <f ca="1">SUPPAJA</f>
        <v>RUSLAN JAYA, SH</v>
      </c>
      <c r="C90" s="338">
        <f ca="1">IF(COUNTIFS($B$3:B90,DATAKBA[[#This Row],[NAMA SUPP]],$E$3:E90,DATAKBA[[#This Row],[TANGGAL]])&lt;&gt;1,0,1)</f>
        <v>1</v>
      </c>
      <c r="D90" s="222">
        <f t="shared" si="11"/>
        <v>4</v>
      </c>
      <c r="E90" s="466">
        <v>43848</v>
      </c>
      <c r="F90" s="473" t="str">
        <f ca="1">DOC</f>
        <v>001</v>
      </c>
      <c r="G90" s="474" t="s">
        <v>230</v>
      </c>
      <c r="H90" s="475" t="s">
        <v>255</v>
      </c>
      <c r="I90" s="476">
        <v>2</v>
      </c>
      <c r="J90" s="471">
        <f>8700+13430</f>
        <v>22130</v>
      </c>
      <c r="K90" s="471">
        <f>4330+4620</f>
        <v>8950</v>
      </c>
      <c r="L90" s="472">
        <f ca="1">NET</f>
        <v>13180</v>
      </c>
      <c r="M90" s="222" t="str">
        <f ca="1">DL</f>
        <v>DARAT</v>
      </c>
      <c r="Q90" s="346"/>
    </row>
    <row r="91" spans="2:17" ht="15">
      <c r="B91" s="465" t="str">
        <f ca="1">SUPPAJA</f>
        <v>DINI CHAIRANI</v>
      </c>
      <c r="C91" s="338">
        <f ca="1">IF(COUNTIFS($B$3:B91,DATAKBA[[#This Row],[NAMA SUPP]],$E$3:E91,DATAKBA[[#This Row],[TANGGAL]])&lt;&gt;1,0,1)</f>
        <v>1</v>
      </c>
      <c r="D91" s="222">
        <f t="shared" si="11"/>
        <v>5</v>
      </c>
      <c r="E91" s="466">
        <v>43848</v>
      </c>
      <c r="F91" s="473" t="str">
        <f ca="1">DOC</f>
        <v>007</v>
      </c>
      <c r="G91" s="474" t="s">
        <v>334</v>
      </c>
      <c r="H91" s="475" t="s">
        <v>268</v>
      </c>
      <c r="I91" s="476">
        <v>1</v>
      </c>
      <c r="J91" s="471">
        <v>9130</v>
      </c>
      <c r="K91" s="471">
        <v>3900</v>
      </c>
      <c r="L91" s="472">
        <f ca="1">NET</f>
        <v>5230</v>
      </c>
      <c r="M91" s="222" t="str">
        <f ca="1">DL</f>
        <v>LAUT</v>
      </c>
      <c r="Q91" s="346"/>
    </row>
    <row r="92" spans="2:17" ht="15">
      <c r="B92" s="465" t="str">
        <f ca="1">SUPPAJA</f>
        <v>ERAWATI</v>
      </c>
      <c r="C92" s="338">
        <f ca="1">IF(COUNTIFS($B$3:B92,DATAKBA[[#This Row],[NAMA SUPP]],$E$3:E92,DATAKBA[[#This Row],[TANGGAL]])&lt;&gt;1,0,1)</f>
        <v>1</v>
      </c>
      <c r="D92" s="222">
        <f t="shared" si="11"/>
        <v>1</v>
      </c>
      <c r="E92" s="466">
        <v>43850</v>
      </c>
      <c r="F92" s="473" t="str">
        <f ca="1">DOC</f>
        <v>014</v>
      </c>
      <c r="G92" s="474" t="s">
        <v>220</v>
      </c>
      <c r="H92" s="475" t="s">
        <v>253</v>
      </c>
      <c r="I92" s="476">
        <v>3</v>
      </c>
      <c r="J92" s="471">
        <v>29960</v>
      </c>
      <c r="K92" s="471">
        <v>14460</v>
      </c>
      <c r="L92" s="472">
        <f ca="1">NET</f>
        <v>15500</v>
      </c>
      <c r="M92" s="222" t="str">
        <f ca="1">DL</f>
        <v>DARAT</v>
      </c>
      <c r="Q92" s="346"/>
    </row>
    <row r="93" spans="2:17" ht="15">
      <c r="B93" s="465" t="str">
        <f ca="1">SUPPAJA</f>
        <v>INDRAYANI</v>
      </c>
      <c r="C93" s="338">
        <f ca="1">IF(COUNTIFS($B$3:B93,DATAKBA[[#This Row],[NAMA SUPP]],$E$3:E93,DATAKBA[[#This Row],[TANGGAL]])&lt;&gt;1,0,1)</f>
        <v>1</v>
      </c>
      <c r="D93" s="222">
        <f t="shared" si="11"/>
        <v>2</v>
      </c>
      <c r="E93" s="466">
        <v>43850</v>
      </c>
      <c r="F93" s="467" t="str">
        <f ca="1">DOC</f>
        <v>012</v>
      </c>
      <c r="G93" s="468" t="s">
        <v>99</v>
      </c>
      <c r="H93" s="469" t="s">
        <v>253</v>
      </c>
      <c r="I93" s="470">
        <v>2</v>
      </c>
      <c r="J93" s="471">
        <v>23250</v>
      </c>
      <c r="K93" s="471">
        <v>8560</v>
      </c>
      <c r="L93" s="472">
        <f ca="1">NET</f>
        <v>14690</v>
      </c>
      <c r="M93" s="222" t="str">
        <f ca="1">DL</f>
        <v>DARAT</v>
      </c>
      <c r="Q93" s="346"/>
    </row>
    <row r="94" spans="2:17" ht="15">
      <c r="B94" s="465" t="str">
        <f ca="1">SUPPAJA</f>
        <v>SAIRI</v>
      </c>
      <c r="C94" s="338">
        <f ca="1">IF(COUNTIFS($B$3:B94,DATAKBA[[#This Row],[NAMA SUPP]],$E$3:E94,DATAKBA[[#This Row],[TANGGAL]])&lt;&gt;1,0,1)</f>
        <v>1</v>
      </c>
      <c r="D94" s="222">
        <f t="shared" si="11"/>
        <v>3</v>
      </c>
      <c r="E94" s="466">
        <v>43850</v>
      </c>
      <c r="F94" s="467" t="str">
        <f ca="1">DOC</f>
        <v>009</v>
      </c>
      <c r="G94" s="468" t="s">
        <v>78</v>
      </c>
      <c r="H94" s="469" t="s">
        <v>267</v>
      </c>
      <c r="I94" s="470">
        <v>1</v>
      </c>
      <c r="J94" s="471">
        <v>4740</v>
      </c>
      <c r="K94" s="471">
        <v>1550</v>
      </c>
      <c r="L94" s="472">
        <f ca="1">NET</f>
        <v>3190</v>
      </c>
      <c r="M94" s="222" t="str">
        <f ca="1">DL</f>
        <v>DARAT</v>
      </c>
      <c r="Q94" s="346"/>
    </row>
    <row r="95" spans="2:17" ht="15">
      <c r="B95" s="465" t="str">
        <f ca="1">SUPPAJA</f>
        <v>AMIR</v>
      </c>
      <c r="C95" s="338">
        <f ca="1">IF(COUNTIFS($B$3:B95,DATAKBA[[#This Row],[NAMA SUPP]],$E$3:E95,DATAKBA[[#This Row],[TANGGAL]])&lt;&gt;1,0,1)</f>
        <v>1</v>
      </c>
      <c r="D95" s="222">
        <f t="shared" si="11"/>
        <v>4</v>
      </c>
      <c r="E95" s="466">
        <v>43850</v>
      </c>
      <c r="F95" s="467" t="str">
        <f ca="1">DOC</f>
        <v>001</v>
      </c>
      <c r="G95" s="468" t="s">
        <v>339</v>
      </c>
      <c r="H95" s="469" t="s">
        <v>340</v>
      </c>
      <c r="I95" s="470">
        <v>6</v>
      </c>
      <c r="J95" s="471">
        <v>46210</v>
      </c>
      <c r="K95" s="471">
        <v>23330</v>
      </c>
      <c r="L95" s="472">
        <f ca="1">NET</f>
        <v>22880</v>
      </c>
      <c r="M95" s="222" t="str">
        <f ca="1">DL</f>
        <v>LAUT</v>
      </c>
      <c r="Q95" s="346"/>
    </row>
    <row r="96" spans="2:17" ht="15">
      <c r="B96" s="465" t="str">
        <f ca="1">SUPPAJA</f>
        <v>DINI CHAIRANI</v>
      </c>
      <c r="C96" s="338">
        <f ca="1">IF(COUNTIFS($B$3:B96,DATAKBA[[#This Row],[NAMA SUPP]],$E$3:E96,DATAKBA[[#This Row],[TANGGAL]])&lt;&gt;1,0,1)</f>
        <v>1</v>
      </c>
      <c r="D96" s="222">
        <f t="shared" si="11"/>
        <v>5</v>
      </c>
      <c r="E96" s="466">
        <v>43850</v>
      </c>
      <c r="F96" s="467" t="str">
        <f ca="1">DOC</f>
        <v>008</v>
      </c>
      <c r="G96" s="468" t="s">
        <v>269</v>
      </c>
      <c r="H96" s="469" t="s">
        <v>268</v>
      </c>
      <c r="I96" s="470">
        <v>5</v>
      </c>
      <c r="J96" s="471">
        <v>43710</v>
      </c>
      <c r="K96" s="471">
        <v>19690</v>
      </c>
      <c r="L96" s="472">
        <f ca="1">NET</f>
        <v>24020</v>
      </c>
      <c r="M96" s="222" t="str">
        <f ca="1">DL</f>
        <v>LAUT</v>
      </c>
      <c r="Q96" s="346"/>
    </row>
    <row r="97" spans="2:17" ht="15">
      <c r="B97" s="465" t="str">
        <f ca="1">SUPPAJA</f>
        <v>DINI CHAIRANI</v>
      </c>
      <c r="C97" s="338">
        <f ca="1">IF(COUNTIFS($B$3:B97,DATAKBA[[#This Row],[NAMA SUPP]],$E$3:E97,DATAKBA[[#This Row],[TANGGAL]])&lt;&gt;1,0,1)</f>
        <v>0</v>
      </c>
      <c r="D97" s="222">
        <f t="shared" si="11"/>
        <v>6</v>
      </c>
      <c r="E97" s="466">
        <v>43850</v>
      </c>
      <c r="F97" s="467" t="str">
        <f ca="1">DOC</f>
        <v/>
      </c>
      <c r="G97" s="468" t="s">
        <v>338</v>
      </c>
      <c r="H97" s="469" t="s">
        <v>268</v>
      </c>
      <c r="I97" s="470">
        <v>1</v>
      </c>
      <c r="J97" s="471">
        <v>7630</v>
      </c>
      <c r="K97" s="471">
        <v>3800</v>
      </c>
      <c r="L97" s="472">
        <f ca="1">NET</f>
        <v>3830</v>
      </c>
      <c r="M97" s="222" t="str">
        <f ca="1">DL</f>
        <v>LAUT</v>
      </c>
      <c r="Q97" s="346"/>
    </row>
    <row r="98" spans="2:17" ht="15">
      <c r="B98" s="465" t="str">
        <f ca="1">SUPPAJA</f>
        <v>HENDRI</v>
      </c>
      <c r="C98" s="338">
        <f ca="1">IF(COUNTIFS($B$3:B98,DATAKBA[[#This Row],[NAMA SUPP]],$E$3:E98,DATAKBA[[#This Row],[TANGGAL]])&lt;&gt;1,0,1)</f>
        <v>1</v>
      </c>
      <c r="D98" s="222">
        <f t="shared" si="11"/>
        <v>7</v>
      </c>
      <c r="E98" s="466">
        <v>43850</v>
      </c>
      <c r="F98" s="467" t="str">
        <f ca="1">DOC</f>
        <v>007</v>
      </c>
      <c r="G98" s="468" t="s">
        <v>341</v>
      </c>
      <c r="H98" s="469" t="s">
        <v>255</v>
      </c>
      <c r="I98" s="470">
        <v>9</v>
      </c>
      <c r="J98" s="471">
        <v>76190</v>
      </c>
      <c r="K98" s="471">
        <v>34820</v>
      </c>
      <c r="L98" s="472">
        <f ca="1">NET</f>
        <v>41370</v>
      </c>
      <c r="M98" s="222" t="str">
        <f ca="1">DL</f>
        <v>LAUT</v>
      </c>
      <c r="Q98" s="346"/>
    </row>
    <row r="99" spans="2:17" ht="15">
      <c r="B99" s="465" t="str">
        <f ca="1">SUPPAJA</f>
        <v>HENDRI</v>
      </c>
      <c r="C99" s="338">
        <f ca="1">IF(COUNTIFS($B$3:B99,DATAKBA[[#This Row],[NAMA SUPP]],$E$3:E99,DATAKBA[[#This Row],[TANGGAL]])&lt;&gt;1,0,1)</f>
        <v>0</v>
      </c>
      <c r="D99" s="222">
        <f t="shared" si="11"/>
        <v>8</v>
      </c>
      <c r="E99" s="466">
        <v>43850</v>
      </c>
      <c r="F99" s="467" t="str">
        <f ca="1">DOC</f>
        <v/>
      </c>
      <c r="G99" s="468" t="s">
        <v>342</v>
      </c>
      <c r="H99" s="469" t="s">
        <v>255</v>
      </c>
      <c r="I99" s="470">
        <v>5</v>
      </c>
      <c r="J99" s="471">
        <v>40660</v>
      </c>
      <c r="K99" s="471">
        <v>19320</v>
      </c>
      <c r="L99" s="472">
        <f ca="1">NET</f>
        <v>21340</v>
      </c>
      <c r="M99" s="222" t="str">
        <f ca="1">DL</f>
        <v>LAUT</v>
      </c>
      <c r="Q99" s="346"/>
    </row>
    <row r="100" spans="2:17" ht="15">
      <c r="B100" s="465" t="str">
        <f ca="1">SUPPAJA</f>
        <v>HENDRI</v>
      </c>
      <c r="C100" s="338">
        <f ca="1">IF(COUNTIFS($B$3:B100,DATAKBA[[#This Row],[NAMA SUPP]],$E$3:E100,DATAKBA[[#This Row],[TANGGAL]])&lt;&gt;1,0,1)</f>
        <v>0</v>
      </c>
      <c r="D100" s="222">
        <f t="shared" si="11"/>
        <v>9</v>
      </c>
      <c r="E100" s="466">
        <v>43850</v>
      </c>
      <c r="F100" s="467" t="str">
        <f ca="1">DOC</f>
        <v/>
      </c>
      <c r="G100" s="468" t="s">
        <v>343</v>
      </c>
      <c r="H100" s="469" t="s">
        <v>255</v>
      </c>
      <c r="I100" s="470">
        <v>2</v>
      </c>
      <c r="J100" s="471">
        <v>15670</v>
      </c>
      <c r="K100" s="471">
        <v>7900</v>
      </c>
      <c r="L100" s="472">
        <f ca="1">NET</f>
        <v>7770</v>
      </c>
      <c r="M100" s="222" t="str">
        <f ca="1">DL</f>
        <v>LAUT</v>
      </c>
      <c r="Q100" s="346"/>
    </row>
    <row r="101" spans="2:17" ht="15">
      <c r="B101" s="465" t="str">
        <f ca="1">SUPPAJA</f>
        <v>MARTONO</v>
      </c>
      <c r="C101" s="338">
        <f ca="1">IF(COUNTIFS($B$3:B101,DATAKBA[[#This Row],[NAMA SUPP]],$E$3:E101,DATAKBA[[#This Row],[TANGGAL]])&lt;&gt;1,0,1)</f>
        <v>1</v>
      </c>
      <c r="D101" s="222">
        <f t="shared" si="11"/>
        <v>10</v>
      </c>
      <c r="E101" s="466">
        <v>43850</v>
      </c>
      <c r="F101" s="467" t="str">
        <f ca="1">DOC</f>
        <v>010</v>
      </c>
      <c r="G101" s="468" t="s">
        <v>256</v>
      </c>
      <c r="H101" s="469" t="s">
        <v>257</v>
      </c>
      <c r="I101" s="470">
        <v>1</v>
      </c>
      <c r="J101" s="471">
        <v>9010</v>
      </c>
      <c r="K101" s="471">
        <v>3960</v>
      </c>
      <c r="L101" s="472">
        <f ca="1">NET</f>
        <v>5050</v>
      </c>
      <c r="M101" s="222" t="str">
        <f ca="1">DL</f>
        <v>LAUT</v>
      </c>
      <c r="Q101" s="346"/>
    </row>
    <row r="102" spans="2:17" ht="15">
      <c r="B102" s="465" t="str">
        <f ca="1">SUPPAJA</f>
        <v>MARTONO</v>
      </c>
      <c r="C102" s="338">
        <f ca="1">IF(COUNTIFS($B$3:B102,DATAKBA[[#This Row],[NAMA SUPP]],$E$3:E102,DATAKBA[[#This Row],[TANGGAL]])&lt;&gt;1,0,1)</f>
        <v>0</v>
      </c>
      <c r="D102" s="222">
        <f t="shared" si="11"/>
        <v>11</v>
      </c>
      <c r="E102" s="466">
        <v>43850</v>
      </c>
      <c r="F102" s="467" t="str">
        <f ca="1">DOC</f>
        <v/>
      </c>
      <c r="G102" s="468" t="s">
        <v>327</v>
      </c>
      <c r="H102" s="469" t="s">
        <v>257</v>
      </c>
      <c r="I102" s="470">
        <v>1</v>
      </c>
      <c r="J102" s="471">
        <v>9000</v>
      </c>
      <c r="K102" s="471">
        <v>3880</v>
      </c>
      <c r="L102" s="472">
        <f ca="1">NET</f>
        <v>5120</v>
      </c>
      <c r="M102" s="222" t="str">
        <f ca="1">DL</f>
        <v>LAUT</v>
      </c>
      <c r="Q102" s="346"/>
    </row>
    <row r="103" spans="2:17" ht="15">
      <c r="B103" s="465" t="str">
        <f ca="1">SUPPAJA</f>
        <v>MARTONO</v>
      </c>
      <c r="C103" s="338">
        <f ca="1">IF(COUNTIFS($B$3:B103,DATAKBA[[#This Row],[NAMA SUPP]],$E$3:E103,DATAKBA[[#This Row],[TANGGAL]])&lt;&gt;1,0,1)</f>
        <v>0</v>
      </c>
      <c r="D103" s="222">
        <f t="shared" si="11"/>
        <v>12</v>
      </c>
      <c r="E103" s="466">
        <v>43850</v>
      </c>
      <c r="F103" s="467" t="str">
        <f ca="1">DOC</f>
        <v/>
      </c>
      <c r="G103" s="468" t="s">
        <v>344</v>
      </c>
      <c r="H103" s="469" t="s">
        <v>257</v>
      </c>
      <c r="I103" s="470">
        <v>6</v>
      </c>
      <c r="J103" s="471">
        <v>48980</v>
      </c>
      <c r="K103" s="471">
        <v>23010</v>
      </c>
      <c r="L103" s="472">
        <f ca="1">NET</f>
        <v>25970</v>
      </c>
      <c r="M103" s="222" t="str">
        <f ca="1">DL</f>
        <v>LAUT</v>
      </c>
      <c r="Q103" s="346"/>
    </row>
    <row r="104" spans="2:17" ht="15">
      <c r="B104" s="465" t="str">
        <f ca="1">SUPPAJA</f>
        <v>MARTONO</v>
      </c>
      <c r="C104" s="338">
        <f ca="1">IF(COUNTIFS($B$3:B104,DATAKBA[[#This Row],[NAMA SUPP]],$E$3:E104,DATAKBA[[#This Row],[TANGGAL]])&lt;&gt;1,0,1)</f>
        <v>0</v>
      </c>
      <c r="D104" s="222">
        <f t="shared" si="11"/>
        <v>13</v>
      </c>
      <c r="E104" s="466">
        <v>43850</v>
      </c>
      <c r="F104" s="473" t="str">
        <f ca="1">DOC</f>
        <v/>
      </c>
      <c r="G104" s="474" t="s">
        <v>273</v>
      </c>
      <c r="H104" s="475" t="s">
        <v>257</v>
      </c>
      <c r="I104" s="476">
        <v>3</v>
      </c>
      <c r="J104" s="471">
        <v>21730</v>
      </c>
      <c r="K104" s="471">
        <v>11640</v>
      </c>
      <c r="L104" s="472">
        <f ca="1">NET</f>
        <v>10090</v>
      </c>
      <c r="M104" s="222" t="str">
        <f ca="1">DL</f>
        <v>LAUT</v>
      </c>
      <c r="Q104" s="346"/>
    </row>
    <row r="105" spans="2:17" ht="15">
      <c r="B105" s="465" t="str">
        <f ca="1">SUPPAJA</f>
        <v>MASRI</v>
      </c>
      <c r="C105" s="338">
        <f ca="1">IF(COUNTIFS($B$3:B105,DATAKBA[[#This Row],[NAMA SUPP]],$E$3:E105,DATAKBA[[#This Row],[TANGGAL]])&lt;&gt;1,0,1)</f>
        <v>1</v>
      </c>
      <c r="D105" s="222">
        <f t="shared" si="11"/>
        <v>14</v>
      </c>
      <c r="E105" s="466">
        <v>43850</v>
      </c>
      <c r="F105" s="467" t="str">
        <f ca="1">DOC</f>
        <v>008</v>
      </c>
      <c r="G105" s="468" t="s">
        <v>345</v>
      </c>
      <c r="H105" s="469" t="s">
        <v>260</v>
      </c>
      <c r="I105" s="470">
        <v>6</v>
      </c>
      <c r="J105" s="471">
        <v>51870</v>
      </c>
      <c r="K105" s="471">
        <v>23130</v>
      </c>
      <c r="L105" s="472">
        <f ca="1">NET</f>
        <v>28740</v>
      </c>
      <c r="M105" s="222" t="str">
        <f ca="1">DL</f>
        <v>LAUT</v>
      </c>
      <c r="Q105" s="346"/>
    </row>
    <row r="106" spans="2:17" ht="15">
      <c r="B106" s="465" t="str">
        <f ca="1">SUPPAJA</f>
        <v>SUKAMTO</v>
      </c>
      <c r="C106" s="338">
        <f ca="1">IF(COUNTIFS($B$3:B106,DATAKBA[[#This Row],[NAMA SUPP]],$E$3:E106,DATAKBA[[#This Row],[TANGGAL]])&lt;&gt;1,0,1)</f>
        <v>1</v>
      </c>
      <c r="D106" s="222">
        <f t="shared" ref="D106:D122" si="12">COUNTER_RUDI</f>
        <v>15</v>
      </c>
      <c r="E106" s="466">
        <v>43850</v>
      </c>
      <c r="F106" s="467" t="str">
        <f ca="1">DOC</f>
        <v>005</v>
      </c>
      <c r="G106" s="468" t="s">
        <v>274</v>
      </c>
      <c r="H106" s="469" t="s">
        <v>275</v>
      </c>
      <c r="I106" s="470">
        <v>1</v>
      </c>
      <c r="J106" s="471">
        <v>8710</v>
      </c>
      <c r="K106" s="471">
        <v>4010</v>
      </c>
      <c r="L106" s="472">
        <f ca="1">NET</f>
        <v>4700</v>
      </c>
      <c r="M106" s="222" t="str">
        <f ca="1">DL</f>
        <v>LAUT</v>
      </c>
      <c r="Q106" s="346"/>
    </row>
    <row r="107" spans="2:17" ht="15">
      <c r="B107" s="465" t="str">
        <f ca="1">SUPPAJA</f>
        <v>ERAWATI</v>
      </c>
      <c r="C107" s="338">
        <f ca="1">IF(COUNTIFS($B$3:B107,DATAKBA[[#This Row],[NAMA SUPP]],$E$3:E107,DATAKBA[[#This Row],[TANGGAL]])&lt;&gt;1,0,1)</f>
        <v>1</v>
      </c>
      <c r="D107" s="222">
        <f t="shared" si="12"/>
        <v>1</v>
      </c>
      <c r="E107" s="466">
        <v>43851</v>
      </c>
      <c r="F107" s="467" t="str">
        <f ca="1">DOC</f>
        <v>015</v>
      </c>
      <c r="G107" s="468" t="s">
        <v>220</v>
      </c>
      <c r="H107" s="469" t="s">
        <v>253</v>
      </c>
      <c r="I107" s="470">
        <v>5</v>
      </c>
      <c r="J107" s="471">
        <v>48020</v>
      </c>
      <c r="K107" s="471">
        <v>34300</v>
      </c>
      <c r="L107" s="472">
        <f ca="1">NET</f>
        <v>13720</v>
      </c>
      <c r="M107" s="222" t="str">
        <f ca="1">DL</f>
        <v>DARAT</v>
      </c>
      <c r="Q107" s="346"/>
    </row>
    <row r="108" spans="2:17" ht="15">
      <c r="B108" s="465" t="str">
        <f ca="1">SUPPAJA</f>
        <v>ERAWATI</v>
      </c>
      <c r="C108" s="338">
        <f ca="1">IF(COUNTIFS($B$3:B108,DATAKBA[[#This Row],[NAMA SUPP]],$E$3:E108,DATAKBA[[#This Row],[TANGGAL]])&lt;&gt;1,0,1)</f>
        <v>0</v>
      </c>
      <c r="D108" s="222">
        <f t="shared" si="12"/>
        <v>2</v>
      </c>
      <c r="E108" s="466">
        <v>43851</v>
      </c>
      <c r="F108" s="467" t="str">
        <f ca="1">DOC</f>
        <v/>
      </c>
      <c r="G108" s="468" t="s">
        <v>252</v>
      </c>
      <c r="H108" s="469" t="s">
        <v>253</v>
      </c>
      <c r="I108" s="470">
        <v>1</v>
      </c>
      <c r="J108" s="471">
        <v>8030</v>
      </c>
      <c r="K108" s="471">
        <v>3950</v>
      </c>
      <c r="L108" s="472">
        <f ca="1">NET</f>
        <v>4080</v>
      </c>
      <c r="M108" s="222" t="str">
        <f ca="1">DL</f>
        <v>LAUT</v>
      </c>
      <c r="Q108" s="346"/>
    </row>
    <row r="109" spans="2:17" ht="15">
      <c r="B109" s="465" t="str">
        <f ca="1">SUPPAJA</f>
        <v>INDRAYANI</v>
      </c>
      <c r="C109" s="338">
        <f ca="1">IF(COUNTIFS($B$3:B109,DATAKBA[[#This Row],[NAMA SUPP]],$E$3:E109,DATAKBA[[#This Row],[TANGGAL]])&lt;&gt;1,0,1)</f>
        <v>1</v>
      </c>
      <c r="D109" s="222">
        <f t="shared" si="12"/>
        <v>3</v>
      </c>
      <c r="E109" s="466">
        <v>43851</v>
      </c>
      <c r="F109" s="467" t="str">
        <f ca="1">DOC</f>
        <v>013</v>
      </c>
      <c r="G109" s="468" t="s">
        <v>99</v>
      </c>
      <c r="H109" s="469" t="s">
        <v>253</v>
      </c>
      <c r="I109" s="470">
        <v>2</v>
      </c>
      <c r="J109" s="471">
        <v>23110</v>
      </c>
      <c r="K109" s="471">
        <v>7860</v>
      </c>
      <c r="L109" s="472">
        <f ca="1">NET</f>
        <v>15250</v>
      </c>
      <c r="M109" s="222" t="str">
        <f ca="1">DL</f>
        <v>DARAT</v>
      </c>
      <c r="Q109" s="346"/>
    </row>
    <row r="110" spans="2:17" ht="15">
      <c r="B110" s="465" t="str">
        <f ca="1">SUPPAJA</f>
        <v>RUSLAN JAYA, SH</v>
      </c>
      <c r="C110" s="338">
        <f ca="1">IF(COUNTIFS($B$3:B110,DATAKBA[[#This Row],[NAMA SUPP]],$E$3:E110,DATAKBA[[#This Row],[TANGGAL]])&lt;&gt;1,0,1)</f>
        <v>1</v>
      </c>
      <c r="D110" s="222">
        <f t="shared" si="12"/>
        <v>4</v>
      </c>
      <c r="E110" s="466">
        <v>43851</v>
      </c>
      <c r="F110" s="473" t="str">
        <f ca="1">DOC</f>
        <v>002</v>
      </c>
      <c r="G110" s="474" t="s">
        <v>230</v>
      </c>
      <c r="H110" s="475" t="s">
        <v>255</v>
      </c>
      <c r="I110" s="476">
        <v>1</v>
      </c>
      <c r="J110" s="471">
        <v>11770</v>
      </c>
      <c r="K110" s="471">
        <v>10180</v>
      </c>
      <c r="L110" s="472">
        <f ca="1">NET</f>
        <v>1590</v>
      </c>
      <c r="M110" s="222" t="str">
        <f ca="1">DL</f>
        <v>DARAT</v>
      </c>
      <c r="Q110" s="346"/>
    </row>
    <row r="111" spans="2:17" ht="15">
      <c r="B111" s="465" t="str">
        <f ca="1">SUPPAJA</f>
        <v>DINI CHAIRANI</v>
      </c>
      <c r="C111" s="338">
        <f ca="1">IF(COUNTIFS($B$3:B111,DATAKBA[[#This Row],[NAMA SUPP]],$E$3:E111,DATAKBA[[#This Row],[TANGGAL]])&lt;&gt;1,0,1)</f>
        <v>1</v>
      </c>
      <c r="D111" s="222">
        <f t="shared" si="12"/>
        <v>5</v>
      </c>
      <c r="E111" s="466">
        <v>43851</v>
      </c>
      <c r="F111" s="467" t="str">
        <f ca="1">DOC</f>
        <v>009</v>
      </c>
      <c r="G111" s="468" t="s">
        <v>228</v>
      </c>
      <c r="H111" s="469" t="s">
        <v>268</v>
      </c>
      <c r="I111" s="470">
        <v>2</v>
      </c>
      <c r="J111" s="471">
        <v>13560</v>
      </c>
      <c r="K111" s="471">
        <v>7820</v>
      </c>
      <c r="L111" s="472">
        <f ca="1">NET</f>
        <v>5740</v>
      </c>
      <c r="M111" s="222" t="str">
        <f ca="1">DL</f>
        <v>LAUT</v>
      </c>
      <c r="Q111" s="346"/>
    </row>
    <row r="112" spans="2:17" ht="15">
      <c r="B112" s="465" t="str">
        <f ca="1">SUPPAJA</f>
        <v>DINI CHAIRANI</v>
      </c>
      <c r="C112" s="338">
        <f ca="1">IF(COUNTIFS($B$3:B112,DATAKBA[[#This Row],[NAMA SUPP]],$E$3:E112,DATAKBA[[#This Row],[TANGGAL]])&lt;&gt;1,0,1)</f>
        <v>0</v>
      </c>
      <c r="D112" s="222">
        <f t="shared" si="12"/>
        <v>6</v>
      </c>
      <c r="E112" s="466">
        <v>43851</v>
      </c>
      <c r="F112" s="473" t="str">
        <f ca="1">DOC</f>
        <v/>
      </c>
      <c r="G112" s="474" t="s">
        <v>334</v>
      </c>
      <c r="H112" s="475" t="s">
        <v>268</v>
      </c>
      <c r="I112" s="476">
        <v>2</v>
      </c>
      <c r="J112" s="471">
        <v>14900</v>
      </c>
      <c r="K112" s="471">
        <v>7860</v>
      </c>
      <c r="L112" s="472">
        <f ca="1">NET</f>
        <v>7040</v>
      </c>
      <c r="M112" s="222" t="str">
        <f ca="1">DL</f>
        <v>LAUT</v>
      </c>
      <c r="Q112" s="346"/>
    </row>
    <row r="113" spans="2:17" ht="15">
      <c r="B113" s="465" t="str">
        <f ca="1">SUPPAJA</f>
        <v>HENDRI</v>
      </c>
      <c r="C113" s="338">
        <f ca="1">IF(COUNTIFS($B$3:B113,DATAKBA[[#This Row],[NAMA SUPP]],$E$3:E113,DATAKBA[[#This Row],[TANGGAL]])&lt;&gt;1,0,1)</f>
        <v>1</v>
      </c>
      <c r="D113" s="222">
        <f t="shared" si="12"/>
        <v>7</v>
      </c>
      <c r="E113" s="466">
        <v>43851</v>
      </c>
      <c r="F113" s="467" t="str">
        <f ca="1">DOC</f>
        <v>008</v>
      </c>
      <c r="G113" s="468" t="s">
        <v>277</v>
      </c>
      <c r="H113" s="469" t="s">
        <v>255</v>
      </c>
      <c r="I113" s="470">
        <v>6</v>
      </c>
      <c r="J113" s="471">
        <v>50030</v>
      </c>
      <c r="K113" s="471">
        <v>23290</v>
      </c>
      <c r="L113" s="472">
        <f ca="1">NET</f>
        <v>26740</v>
      </c>
      <c r="M113" s="222" t="str">
        <f ca="1">DL</f>
        <v>LAUT</v>
      </c>
      <c r="Q113" s="346"/>
    </row>
    <row r="114" spans="2:17" ht="15">
      <c r="B114" s="465" t="str">
        <f ca="1">SUPPAJA</f>
        <v>HENDRI</v>
      </c>
      <c r="C114" s="338">
        <f ca="1">IF(COUNTIFS($B$3:B114,DATAKBA[[#This Row],[NAMA SUPP]],$E$3:E114,DATAKBA[[#This Row],[TANGGAL]])&lt;&gt;1,0,1)</f>
        <v>0</v>
      </c>
      <c r="D114" s="222">
        <f t="shared" si="12"/>
        <v>8</v>
      </c>
      <c r="E114" s="466">
        <v>43851</v>
      </c>
      <c r="F114" s="467" t="str">
        <f ca="1">DOC</f>
        <v/>
      </c>
      <c r="G114" s="468" t="s">
        <v>346</v>
      </c>
      <c r="H114" s="469" t="s">
        <v>255</v>
      </c>
      <c r="I114" s="470">
        <v>2</v>
      </c>
      <c r="J114" s="471">
        <v>14330</v>
      </c>
      <c r="K114" s="471">
        <v>7830</v>
      </c>
      <c r="L114" s="472">
        <f ca="1">NET</f>
        <v>6500</v>
      </c>
      <c r="M114" s="222" t="str">
        <f ca="1">DL</f>
        <v>LAUT</v>
      </c>
      <c r="Q114" s="346"/>
    </row>
    <row r="115" spans="2:17" ht="15">
      <c r="B115" s="465" t="str">
        <f ca="1">SUPPAJA</f>
        <v>HENDRI</v>
      </c>
      <c r="C115" s="338">
        <f ca="1">IF(COUNTIFS($B$3:B115,DATAKBA[[#This Row],[NAMA SUPP]],$E$3:E115,DATAKBA[[#This Row],[TANGGAL]])&lt;&gt;1,0,1)</f>
        <v>0</v>
      </c>
      <c r="D115" s="222">
        <f t="shared" si="12"/>
        <v>9</v>
      </c>
      <c r="E115" s="466">
        <v>43851</v>
      </c>
      <c r="F115" s="467" t="str">
        <f ca="1">DOC</f>
        <v/>
      </c>
      <c r="G115" s="468" t="s">
        <v>335</v>
      </c>
      <c r="H115" s="469" t="s">
        <v>255</v>
      </c>
      <c r="I115" s="470">
        <v>3</v>
      </c>
      <c r="J115" s="471">
        <v>25860</v>
      </c>
      <c r="K115" s="471">
        <v>11750</v>
      </c>
      <c r="L115" s="472">
        <f ca="1">NET</f>
        <v>14110</v>
      </c>
      <c r="M115" s="222" t="str">
        <f ca="1">DL</f>
        <v>LAUT</v>
      </c>
      <c r="Q115" s="346"/>
    </row>
    <row r="116" spans="2:17" ht="15">
      <c r="B116" s="465" t="str">
        <f ca="1">SUPPAJA</f>
        <v>MARTONO</v>
      </c>
      <c r="C116" s="338">
        <f ca="1">IF(COUNTIFS($B$3:B116,DATAKBA[[#This Row],[NAMA SUPP]],$E$3:E116,DATAKBA[[#This Row],[TANGGAL]])&lt;&gt;1,0,1)</f>
        <v>1</v>
      </c>
      <c r="D116" s="222">
        <f t="shared" si="12"/>
        <v>10</v>
      </c>
      <c r="E116" s="466">
        <v>43851</v>
      </c>
      <c r="F116" s="467" t="str">
        <f ca="1">DOC</f>
        <v>011</v>
      </c>
      <c r="G116" s="468" t="s">
        <v>327</v>
      </c>
      <c r="H116" s="469" t="s">
        <v>257</v>
      </c>
      <c r="I116" s="470">
        <v>4</v>
      </c>
      <c r="J116" s="471">
        <v>32400</v>
      </c>
      <c r="K116" s="471">
        <v>15470</v>
      </c>
      <c r="L116" s="472">
        <f ca="1">NET</f>
        <v>16930</v>
      </c>
      <c r="M116" s="222" t="str">
        <f ca="1">DL</f>
        <v>LAUT</v>
      </c>
      <c r="Q116" s="346"/>
    </row>
    <row r="117" spans="2:17" ht="15">
      <c r="B117" s="465" t="str">
        <f ca="1">SUPPAJA</f>
        <v>MARTONO</v>
      </c>
      <c r="C117" s="338">
        <f ca="1">IF(COUNTIFS($B$3:B117,DATAKBA[[#This Row],[NAMA SUPP]],$E$3:E117,DATAKBA[[#This Row],[TANGGAL]])&lt;&gt;1,0,1)</f>
        <v>0</v>
      </c>
      <c r="D117" s="222">
        <f t="shared" si="12"/>
        <v>11</v>
      </c>
      <c r="E117" s="466">
        <v>43851</v>
      </c>
      <c r="F117" s="467" t="str">
        <f ca="1">DOC</f>
        <v/>
      </c>
      <c r="G117" s="468" t="s">
        <v>347</v>
      </c>
      <c r="H117" s="469" t="s">
        <v>257</v>
      </c>
      <c r="I117" s="470">
        <v>2</v>
      </c>
      <c r="J117" s="471">
        <v>17310</v>
      </c>
      <c r="K117" s="471">
        <v>7980</v>
      </c>
      <c r="L117" s="472">
        <f ca="1">NET</f>
        <v>9330</v>
      </c>
      <c r="M117" s="222" t="str">
        <f ca="1">DL</f>
        <v>LAUT</v>
      </c>
      <c r="Q117" s="346"/>
    </row>
    <row r="118" spans="2:17" ht="15">
      <c r="B118" s="465" t="str">
        <f ca="1">SUPPAJA</f>
        <v>MARTONO</v>
      </c>
      <c r="C118" s="338">
        <f ca="1">IF(COUNTIFS($B$3:B118,DATAKBA[[#This Row],[NAMA SUPP]],$E$3:E118,DATAKBA[[#This Row],[TANGGAL]])&lt;&gt;1,0,1)</f>
        <v>0</v>
      </c>
      <c r="D118" s="222">
        <f t="shared" si="12"/>
        <v>12</v>
      </c>
      <c r="E118" s="466">
        <v>43851</v>
      </c>
      <c r="F118" s="467" t="str">
        <f ca="1">DOC</f>
        <v/>
      </c>
      <c r="G118" s="468" t="s">
        <v>348</v>
      </c>
      <c r="H118" s="469" t="s">
        <v>257</v>
      </c>
      <c r="I118" s="470">
        <v>1</v>
      </c>
      <c r="J118" s="471">
        <v>7730</v>
      </c>
      <c r="K118" s="471">
        <v>4010</v>
      </c>
      <c r="L118" s="472">
        <f ca="1">NET</f>
        <v>3720</v>
      </c>
      <c r="M118" s="222" t="str">
        <f ca="1">DL</f>
        <v>LAUT</v>
      </c>
      <c r="Q118" s="346"/>
    </row>
    <row r="119" spans="2:17" ht="15">
      <c r="B119" s="465" t="str">
        <f ca="1">SUPPAJA</f>
        <v>MASRI</v>
      </c>
      <c r="C119" s="338">
        <f ca="1">IF(COUNTIFS($B$3:B119,DATAKBA[[#This Row],[NAMA SUPP]],$E$3:E119,DATAKBA[[#This Row],[TANGGAL]])&lt;&gt;1,0,1)</f>
        <v>1</v>
      </c>
      <c r="D119" s="222">
        <f t="shared" si="12"/>
        <v>13</v>
      </c>
      <c r="E119" s="466">
        <v>43851</v>
      </c>
      <c r="F119" s="467" t="str">
        <f ca="1">DOC</f>
        <v>009</v>
      </c>
      <c r="G119" s="468" t="s">
        <v>280</v>
      </c>
      <c r="H119" s="469" t="s">
        <v>260</v>
      </c>
      <c r="I119" s="470">
        <v>9</v>
      </c>
      <c r="J119" s="471">
        <v>72170</v>
      </c>
      <c r="K119" s="471">
        <v>34770</v>
      </c>
      <c r="L119" s="472">
        <f ca="1">NET</f>
        <v>37400</v>
      </c>
      <c r="M119" s="222" t="str">
        <f ca="1">DL</f>
        <v>LAUT</v>
      </c>
      <c r="Q119" s="346"/>
    </row>
    <row r="120" spans="2:17" ht="15">
      <c r="B120" s="465" t="str">
        <f ca="1">SUPPAJA</f>
        <v>RITA ERNITA</v>
      </c>
      <c r="C120" s="338">
        <f ca="1">IF(COUNTIFS($B$3:B120,DATAKBA[[#This Row],[NAMA SUPP]],$E$3:E120,DATAKBA[[#This Row],[TANGGAL]])&lt;&gt;1,0,1)</f>
        <v>1</v>
      </c>
      <c r="D120" s="222">
        <f t="shared" si="12"/>
        <v>14</v>
      </c>
      <c r="E120" s="466">
        <v>43851</v>
      </c>
      <c r="F120" s="467" t="str">
        <f ca="1">DOC</f>
        <v>003</v>
      </c>
      <c r="G120" s="468" t="s">
        <v>349</v>
      </c>
      <c r="H120" s="469" t="s">
        <v>263</v>
      </c>
      <c r="I120" s="470">
        <v>7</v>
      </c>
      <c r="J120" s="471">
        <v>57440</v>
      </c>
      <c r="K120" s="471">
        <v>27080</v>
      </c>
      <c r="L120" s="472">
        <f ca="1">NET</f>
        <v>30360</v>
      </c>
      <c r="M120" s="222" t="str">
        <f ca="1">DL</f>
        <v>LAUT</v>
      </c>
      <c r="Q120" s="346"/>
    </row>
    <row r="121" spans="2:17" ht="15">
      <c r="B121" s="465" t="str">
        <f ca="1">SUPPAJA</f>
        <v>WARTINI</v>
      </c>
      <c r="C121" s="338">
        <f ca="1">IF(COUNTIFS($B$3:B121,DATAKBA[[#This Row],[NAMA SUPP]],$E$3:E121,DATAKBA[[#This Row],[TANGGAL]])&lt;&gt;1,0,1)</f>
        <v>1</v>
      </c>
      <c r="D121" s="222">
        <f t="shared" si="12"/>
        <v>15</v>
      </c>
      <c r="E121" s="466">
        <v>43851</v>
      </c>
      <c r="F121" s="467" t="str">
        <f ca="1">DOC</f>
        <v>001</v>
      </c>
      <c r="G121" s="468" t="s">
        <v>350</v>
      </c>
      <c r="H121" s="469" t="s">
        <v>351</v>
      </c>
      <c r="I121" s="470">
        <v>7</v>
      </c>
      <c r="J121" s="471">
        <v>57470</v>
      </c>
      <c r="K121" s="471">
        <v>26940</v>
      </c>
      <c r="L121" s="472">
        <f ca="1">NET</f>
        <v>30530</v>
      </c>
      <c r="M121" s="222" t="str">
        <f ca="1">DL</f>
        <v>LAUT</v>
      </c>
      <c r="Q121" s="346"/>
    </row>
    <row r="122" spans="2:17" ht="15">
      <c r="B122" s="465" t="str">
        <f ca="1">SUPPAJA</f>
        <v>YANADI</v>
      </c>
      <c r="C122" s="338">
        <f ca="1">IF(COUNTIFS($B$3:B122,DATAKBA[[#This Row],[NAMA SUPP]],$E$3:E122,DATAKBA[[#This Row],[TANGGAL]])&lt;&gt;1,0,1)</f>
        <v>1</v>
      </c>
      <c r="D122" s="222">
        <f t="shared" si="12"/>
        <v>16</v>
      </c>
      <c r="E122" s="466">
        <v>43851</v>
      </c>
      <c r="F122" s="473" t="str">
        <f ca="1">DOC</f>
        <v>006</v>
      </c>
      <c r="G122" s="474" t="s">
        <v>352</v>
      </c>
      <c r="H122" s="475" t="s">
        <v>265</v>
      </c>
      <c r="I122" s="476">
        <v>2</v>
      </c>
      <c r="J122" s="471">
        <v>16060</v>
      </c>
      <c r="K122" s="471">
        <v>7920</v>
      </c>
      <c r="L122" s="472">
        <f ca="1">NET</f>
        <v>8140</v>
      </c>
      <c r="M122" s="222" t="str">
        <f ca="1">DL</f>
        <v>LAUT</v>
      </c>
      <c r="Q122" s="346"/>
    </row>
    <row r="123" spans="2:17" ht="15">
      <c r="B123" s="465" t="str">
        <f ca="1">SUPPAJA</f>
        <v>ERAWATI</v>
      </c>
      <c r="C123" s="338">
        <f ca="1">IF(COUNTIFS($B$3:B123,DATAKBA[[#This Row],[NAMA SUPP]],$E$3:E123,DATAKBA[[#This Row],[TANGGAL]])&lt;&gt;1,0,1)</f>
        <v>1</v>
      </c>
      <c r="D123" s="222">
        <f t="shared" ref="D123:D134" si="13">COUNTER_RUDI</f>
        <v>1</v>
      </c>
      <c r="E123" s="466">
        <v>43852</v>
      </c>
      <c r="F123" s="473" t="str">
        <f ca="1">DOC</f>
        <v>016</v>
      </c>
      <c r="G123" s="474" t="s">
        <v>220</v>
      </c>
      <c r="H123" s="475" t="s">
        <v>253</v>
      </c>
      <c r="I123" s="476">
        <v>6</v>
      </c>
      <c r="J123" s="471">
        <v>46530</v>
      </c>
      <c r="K123" s="471">
        <v>24540</v>
      </c>
      <c r="L123" s="472">
        <f ca="1">NET</f>
        <v>21990</v>
      </c>
      <c r="M123" s="222" t="str">
        <f ca="1">DL</f>
        <v>DARAT</v>
      </c>
      <c r="Q123" s="346"/>
    </row>
    <row r="124" spans="2:17" ht="15">
      <c r="B124" s="465" t="str">
        <f ca="1">SUPPAJA</f>
        <v>ERAWATI</v>
      </c>
      <c r="C124" s="338">
        <f ca="1">IF(COUNTIFS($B$3:B124,DATAKBA[[#This Row],[NAMA SUPP]],$E$3:E124,DATAKBA[[#This Row],[TANGGAL]])&lt;&gt;1,0,1)</f>
        <v>0</v>
      </c>
      <c r="D124" s="222">
        <f t="shared" si="13"/>
        <v>2</v>
      </c>
      <c r="E124" s="466">
        <v>43852</v>
      </c>
      <c r="F124" s="473" t="str">
        <f ca="1">DOC</f>
        <v/>
      </c>
      <c r="G124" s="474" t="s">
        <v>252</v>
      </c>
      <c r="H124" s="475" t="s">
        <v>253</v>
      </c>
      <c r="I124" s="476">
        <v>1</v>
      </c>
      <c r="J124" s="471">
        <v>8910</v>
      </c>
      <c r="K124" s="471">
        <v>3900</v>
      </c>
      <c r="L124" s="472">
        <f ca="1">NET</f>
        <v>5010</v>
      </c>
      <c r="M124" s="222" t="str">
        <f ca="1">DL</f>
        <v>LAUT</v>
      </c>
      <c r="Q124" s="346"/>
    </row>
    <row r="125" spans="2:17" ht="15">
      <c r="B125" s="465" t="str">
        <f ca="1">SUPPAJA</f>
        <v>INDRAYANI</v>
      </c>
      <c r="C125" s="338">
        <f ca="1">IF(COUNTIFS($B$3:B125,DATAKBA[[#This Row],[NAMA SUPP]],$E$3:E125,DATAKBA[[#This Row],[TANGGAL]])&lt;&gt;1,0,1)</f>
        <v>1</v>
      </c>
      <c r="D125" s="222">
        <f t="shared" si="13"/>
        <v>3</v>
      </c>
      <c r="E125" s="466">
        <v>43852</v>
      </c>
      <c r="F125" s="467" t="str">
        <f ca="1">DOC</f>
        <v>014</v>
      </c>
      <c r="G125" s="468" t="s">
        <v>99</v>
      </c>
      <c r="H125" s="469" t="s">
        <v>253</v>
      </c>
      <c r="I125" s="470">
        <v>2</v>
      </c>
      <c r="J125" s="471">
        <v>25900</v>
      </c>
      <c r="K125" s="471">
        <v>9730</v>
      </c>
      <c r="L125" s="472">
        <f ca="1">NET</f>
        <v>16170</v>
      </c>
      <c r="M125" s="222" t="str">
        <f ca="1">DL</f>
        <v>DARAT</v>
      </c>
      <c r="Q125" s="346"/>
    </row>
    <row r="126" spans="2:17" ht="15">
      <c r="B126" s="465" t="str">
        <f ca="1">SUPPAJA</f>
        <v>RUSLAN JAYA, SH</v>
      </c>
      <c r="C126" s="338">
        <f ca="1">IF(COUNTIFS($B$3:B126,DATAKBA[[#This Row],[NAMA SUPP]],$E$3:E126,DATAKBA[[#This Row],[TANGGAL]])&lt;&gt;1,0,1)</f>
        <v>1</v>
      </c>
      <c r="D126" s="222">
        <f t="shared" si="13"/>
        <v>4</v>
      </c>
      <c r="E126" s="466">
        <v>43852</v>
      </c>
      <c r="F126" s="467" t="str">
        <f ca="1">DOC</f>
        <v>003</v>
      </c>
      <c r="G126" s="468" t="s">
        <v>230</v>
      </c>
      <c r="H126" s="469" t="s">
        <v>255</v>
      </c>
      <c r="I126" s="470">
        <v>2</v>
      </c>
      <c r="J126" s="471">
        <v>21390</v>
      </c>
      <c r="K126" s="471">
        <v>8960</v>
      </c>
      <c r="L126" s="472">
        <f ca="1">NET</f>
        <v>12430</v>
      </c>
      <c r="M126" s="222" t="str">
        <f ca="1">DL</f>
        <v>DARAT</v>
      </c>
      <c r="Q126" s="346"/>
    </row>
    <row r="127" spans="2:17" ht="15">
      <c r="B127" s="465" t="str">
        <f ca="1">SUPPAJA</f>
        <v>SAIRI</v>
      </c>
      <c r="C127" s="338">
        <f ca="1">IF(COUNTIFS($B$3:B127,DATAKBA[[#This Row],[NAMA SUPP]],$E$3:E127,DATAKBA[[#This Row],[TANGGAL]])&lt;&gt;1,0,1)</f>
        <v>1</v>
      </c>
      <c r="D127" s="222">
        <f t="shared" si="13"/>
        <v>5</v>
      </c>
      <c r="E127" s="466">
        <v>43852</v>
      </c>
      <c r="F127" s="467" t="str">
        <f ca="1">DOC</f>
        <v>010</v>
      </c>
      <c r="G127" s="468" t="s">
        <v>78</v>
      </c>
      <c r="H127" s="469" t="s">
        <v>267</v>
      </c>
      <c r="I127" s="470">
        <v>2</v>
      </c>
      <c r="J127" s="471">
        <v>7830</v>
      </c>
      <c r="K127" s="471">
        <v>4700</v>
      </c>
      <c r="L127" s="472">
        <f ca="1">NET</f>
        <v>3130</v>
      </c>
      <c r="M127" s="222" t="str">
        <f ca="1">DL</f>
        <v>DARAT</v>
      </c>
      <c r="Q127" s="346"/>
    </row>
    <row r="128" spans="2:17" ht="15">
      <c r="B128" s="465" t="str">
        <f ca="1">SUPPAJA</f>
        <v>YANADI</v>
      </c>
      <c r="C128" s="338">
        <f ca="1">IF(COUNTIFS($B$3:B128,DATAKBA[[#This Row],[NAMA SUPP]],$E$3:E128,DATAKBA[[#This Row],[TANGGAL]])&lt;&gt;1,0,1)</f>
        <v>1</v>
      </c>
      <c r="D128" s="222">
        <f t="shared" si="13"/>
        <v>6</v>
      </c>
      <c r="E128" s="466">
        <v>43852</v>
      </c>
      <c r="F128" s="473" t="str">
        <f ca="1">DOC</f>
        <v>007</v>
      </c>
      <c r="G128" s="474" t="s">
        <v>137</v>
      </c>
      <c r="H128" s="475" t="s">
        <v>265</v>
      </c>
      <c r="I128" s="476">
        <v>1</v>
      </c>
      <c r="J128" s="471">
        <v>12910</v>
      </c>
      <c r="K128" s="471">
        <v>4440</v>
      </c>
      <c r="L128" s="472">
        <f ca="1">NET</f>
        <v>8470</v>
      </c>
      <c r="M128" s="222" t="str">
        <f ca="1">DL</f>
        <v>DARAT</v>
      </c>
      <c r="Q128" s="346"/>
    </row>
    <row r="129" spans="2:17" ht="15">
      <c r="B129" s="465" t="str">
        <f ca="1">SUPPAJA</f>
        <v>YANADI</v>
      </c>
      <c r="C129" s="338">
        <f ca="1">IF(COUNTIFS($B$3:B129,DATAKBA[[#This Row],[NAMA SUPP]],$E$3:E129,DATAKBA[[#This Row],[TANGGAL]])&lt;&gt;1,0,1)</f>
        <v>0</v>
      </c>
      <c r="D129" s="222">
        <f t="shared" si="13"/>
        <v>7</v>
      </c>
      <c r="E129" s="466">
        <v>43852</v>
      </c>
      <c r="F129" s="473" t="str">
        <f ca="1">DOC</f>
        <v/>
      </c>
      <c r="G129" s="474" t="s">
        <v>281</v>
      </c>
      <c r="H129" s="475" t="s">
        <v>265</v>
      </c>
      <c r="I129" s="476">
        <v>2</v>
      </c>
      <c r="J129" s="471">
        <v>14740</v>
      </c>
      <c r="K129" s="471">
        <v>8020</v>
      </c>
      <c r="L129" s="472">
        <f ca="1">NET</f>
        <v>6720</v>
      </c>
      <c r="M129" s="222" t="str">
        <f ca="1">DL</f>
        <v>LAUT</v>
      </c>
      <c r="Q129" s="346"/>
    </row>
    <row r="130" spans="2:17" ht="15">
      <c r="B130" s="465" t="str">
        <f ca="1">SUPPAJA</f>
        <v>DINI CHAIRANI</v>
      </c>
      <c r="C130" s="338">
        <f ca="1">IF(COUNTIFS($B$3:B130,DATAKBA[[#This Row],[NAMA SUPP]],$E$3:E130,DATAKBA[[#This Row],[TANGGAL]])&lt;&gt;1,0,1)</f>
        <v>1</v>
      </c>
      <c r="D130" s="222">
        <f t="shared" si="13"/>
        <v>8</v>
      </c>
      <c r="E130" s="466">
        <v>43852</v>
      </c>
      <c r="F130" s="473" t="str">
        <f ca="1">DOC</f>
        <v>010</v>
      </c>
      <c r="G130" s="474" t="s">
        <v>276</v>
      </c>
      <c r="H130" s="475" t="s">
        <v>268</v>
      </c>
      <c r="I130" s="476">
        <v>1</v>
      </c>
      <c r="J130" s="471">
        <v>7020</v>
      </c>
      <c r="K130" s="471">
        <v>3780</v>
      </c>
      <c r="L130" s="472">
        <f ca="1">NET</f>
        <v>3240</v>
      </c>
      <c r="M130" s="222" t="str">
        <f ca="1">DL</f>
        <v>LAUT</v>
      </c>
      <c r="Q130" s="346"/>
    </row>
    <row r="131" spans="2:17" ht="15">
      <c r="B131" s="465" t="str">
        <f ca="1">SUPPAJA</f>
        <v>HENDRI</v>
      </c>
      <c r="C131" s="338">
        <f ca="1">IF(COUNTIFS($B$3:B131,DATAKBA[[#This Row],[NAMA SUPP]],$E$3:E131,DATAKBA[[#This Row],[TANGGAL]])&lt;&gt;1,0,1)</f>
        <v>1</v>
      </c>
      <c r="D131" s="222">
        <f t="shared" si="13"/>
        <v>9</v>
      </c>
      <c r="E131" s="466">
        <v>43852</v>
      </c>
      <c r="F131" s="467" t="str">
        <f ca="1">DOC</f>
        <v>009</v>
      </c>
      <c r="G131" s="468" t="s">
        <v>332</v>
      </c>
      <c r="H131" s="469" t="s">
        <v>255</v>
      </c>
      <c r="I131" s="470">
        <v>1</v>
      </c>
      <c r="J131" s="471">
        <v>8090</v>
      </c>
      <c r="K131" s="471">
        <v>3960</v>
      </c>
      <c r="L131" s="472">
        <f ca="1">NET</f>
        <v>4130</v>
      </c>
      <c r="M131" s="222" t="str">
        <f ca="1">DL</f>
        <v>LAUT</v>
      </c>
      <c r="Q131" s="346"/>
    </row>
    <row r="132" spans="2:17" ht="15">
      <c r="B132" s="465" t="str">
        <f ca="1">SUPPAJA</f>
        <v>MARTONO</v>
      </c>
      <c r="C132" s="338">
        <f ca="1">IF(COUNTIFS($B$3:B132,DATAKBA[[#This Row],[NAMA SUPP]],$E$3:E132,DATAKBA[[#This Row],[TANGGAL]])&lt;&gt;1,0,1)</f>
        <v>1</v>
      </c>
      <c r="D132" s="222">
        <f t="shared" si="13"/>
        <v>10</v>
      </c>
      <c r="E132" s="466">
        <v>43852</v>
      </c>
      <c r="F132" s="467" t="str">
        <f ca="1">DOC</f>
        <v>012</v>
      </c>
      <c r="G132" s="468" t="s">
        <v>353</v>
      </c>
      <c r="H132" s="469" t="s">
        <v>257</v>
      </c>
      <c r="I132" s="470">
        <v>2</v>
      </c>
      <c r="J132" s="471">
        <v>17160</v>
      </c>
      <c r="K132" s="471">
        <v>7780</v>
      </c>
      <c r="L132" s="472">
        <f ca="1">NET</f>
        <v>9380</v>
      </c>
      <c r="M132" s="222" t="str">
        <f ca="1">DL</f>
        <v>LAUT</v>
      </c>
      <c r="Q132" s="346"/>
    </row>
    <row r="133" spans="2:17" ht="15">
      <c r="B133" s="465" t="str">
        <f ca="1">SUPPAJA</f>
        <v>MARTONO</v>
      </c>
      <c r="C133" s="338">
        <f ca="1">IF(COUNTIFS($B$3:B133,DATAKBA[[#This Row],[NAMA SUPP]],$E$3:E133,DATAKBA[[#This Row],[TANGGAL]])&lt;&gt;1,0,1)</f>
        <v>0</v>
      </c>
      <c r="D133" s="222">
        <f t="shared" si="13"/>
        <v>11</v>
      </c>
      <c r="E133" s="466">
        <v>43852</v>
      </c>
      <c r="F133" s="467" t="str">
        <f ca="1">DOC</f>
        <v/>
      </c>
      <c r="G133" s="468" t="s">
        <v>279</v>
      </c>
      <c r="H133" s="469" t="s">
        <v>257</v>
      </c>
      <c r="I133" s="470">
        <v>2</v>
      </c>
      <c r="J133" s="471">
        <v>15530</v>
      </c>
      <c r="K133" s="471">
        <v>7860</v>
      </c>
      <c r="L133" s="472">
        <f ca="1">NET</f>
        <v>7670</v>
      </c>
      <c r="M133" s="222" t="str">
        <f ca="1">DL</f>
        <v>LAUT</v>
      </c>
      <c r="Q133" s="346"/>
    </row>
    <row r="134" spans="2:17" ht="15">
      <c r="B134" s="465" t="str">
        <f ca="1">SUPPAJA</f>
        <v>WARTINI</v>
      </c>
      <c r="C134" s="338">
        <f ca="1">IF(COUNTIFS($B$3:B134,DATAKBA[[#This Row],[NAMA SUPP]],$E$3:E134,DATAKBA[[#This Row],[TANGGAL]])&lt;&gt;1,0,1)</f>
        <v>1</v>
      </c>
      <c r="D134" s="222">
        <f t="shared" si="13"/>
        <v>12</v>
      </c>
      <c r="E134" s="466">
        <v>43852</v>
      </c>
      <c r="F134" s="473" t="str">
        <f ca="1">DOC</f>
        <v>002</v>
      </c>
      <c r="G134" s="474" t="s">
        <v>350</v>
      </c>
      <c r="H134" s="475" t="s">
        <v>351</v>
      </c>
      <c r="I134" s="476">
        <v>7</v>
      </c>
      <c r="J134" s="471">
        <v>58380</v>
      </c>
      <c r="K134" s="471">
        <v>27190</v>
      </c>
      <c r="L134" s="472">
        <f ca="1">NET</f>
        <v>31190</v>
      </c>
      <c r="M134" s="222" t="str">
        <f ca="1">DL</f>
        <v>LAUT</v>
      </c>
      <c r="Q134" s="346"/>
    </row>
    <row r="135" spans="2:17" ht="15">
      <c r="B135" s="465" t="str">
        <f ca="1">SUPPAJA</f>
        <v>ERAWATI</v>
      </c>
      <c r="C135" s="338">
        <f ca="1">IF(COUNTIFS($B$3:B135,DATAKBA[[#This Row],[NAMA SUPP]],$E$3:E135,DATAKBA[[#This Row],[TANGGAL]])&lt;&gt;1,0,1)</f>
        <v>1</v>
      </c>
      <c r="D135" s="222">
        <f t="shared" ref="D135:D163" si="14">COUNTER_RUDI</f>
        <v>1</v>
      </c>
      <c r="E135" s="466">
        <v>43853</v>
      </c>
      <c r="F135" s="473" t="str">
        <f ca="1">DOC</f>
        <v>017</v>
      </c>
      <c r="G135" s="474" t="s">
        <v>220</v>
      </c>
      <c r="H135" s="475" t="s">
        <v>253</v>
      </c>
      <c r="I135" s="476">
        <v>4</v>
      </c>
      <c r="J135" s="471">
        <v>41460</v>
      </c>
      <c r="K135" s="471">
        <v>14910</v>
      </c>
      <c r="L135" s="472">
        <f ca="1">NET</f>
        <v>26550</v>
      </c>
      <c r="M135" s="222" t="str">
        <f ca="1">DL</f>
        <v>DARAT</v>
      </c>
      <c r="Q135" s="346"/>
    </row>
    <row r="136" spans="2:17" ht="15">
      <c r="B136" s="465" t="str">
        <f ca="1">SUPPAJA</f>
        <v>ERAWATI</v>
      </c>
      <c r="C136" s="338">
        <f ca="1">IF(COUNTIFS($B$3:B136,DATAKBA[[#This Row],[NAMA SUPP]],$E$3:E136,DATAKBA[[#This Row],[TANGGAL]])&lt;&gt;1,0,1)</f>
        <v>0</v>
      </c>
      <c r="D136" s="222">
        <f t="shared" si="14"/>
        <v>2</v>
      </c>
      <c r="E136" s="466">
        <v>43853</v>
      </c>
      <c r="F136" s="473" t="str">
        <f ca="1">DOC</f>
        <v/>
      </c>
      <c r="G136" s="474" t="s">
        <v>325</v>
      </c>
      <c r="H136" s="475" t="s">
        <v>253</v>
      </c>
      <c r="I136" s="476">
        <v>1</v>
      </c>
      <c r="J136" s="471">
        <v>7450</v>
      </c>
      <c r="K136" s="471">
        <v>3870</v>
      </c>
      <c r="L136" s="472">
        <f ca="1">NET</f>
        <v>3580</v>
      </c>
      <c r="M136" s="222" t="str">
        <f ca="1">DL</f>
        <v>LAUT</v>
      </c>
      <c r="Q136" s="346"/>
    </row>
    <row r="137" spans="2:17" ht="15">
      <c r="B137" s="465" t="str">
        <f ca="1">SUPPAJA</f>
        <v>INDRAYANI</v>
      </c>
      <c r="C137" s="338">
        <f ca="1">IF(COUNTIFS($B$3:B137,DATAKBA[[#This Row],[NAMA SUPP]],$E$3:E137,DATAKBA[[#This Row],[TANGGAL]])&lt;&gt;1,0,1)</f>
        <v>1</v>
      </c>
      <c r="D137" s="222">
        <f t="shared" si="14"/>
        <v>3</v>
      </c>
      <c r="E137" s="466">
        <v>43853</v>
      </c>
      <c r="F137" s="467" t="str">
        <f ca="1">DOC</f>
        <v>015</v>
      </c>
      <c r="G137" s="468" t="s">
        <v>99</v>
      </c>
      <c r="H137" s="469" t="s">
        <v>253</v>
      </c>
      <c r="I137" s="470">
        <v>2</v>
      </c>
      <c r="J137" s="471">
        <v>22280</v>
      </c>
      <c r="K137" s="471">
        <v>8480</v>
      </c>
      <c r="L137" s="472">
        <f ca="1">NET</f>
        <v>13800</v>
      </c>
      <c r="M137" s="222" t="str">
        <f ca="1">DL</f>
        <v>DARAT</v>
      </c>
      <c r="Q137" s="346"/>
    </row>
    <row r="138" spans="2:17" ht="15">
      <c r="B138" s="465" t="str">
        <f ca="1">SUPPAJA</f>
        <v>RUSLAN JAYA, SH</v>
      </c>
      <c r="C138" s="338">
        <f ca="1">IF(COUNTIFS($B$3:B138,DATAKBA[[#This Row],[NAMA SUPP]],$E$3:E138,DATAKBA[[#This Row],[TANGGAL]])&lt;&gt;1,0,1)</f>
        <v>1</v>
      </c>
      <c r="D138" s="222">
        <f t="shared" si="14"/>
        <v>4</v>
      </c>
      <c r="E138" s="466">
        <v>43853</v>
      </c>
      <c r="F138" s="467" t="str">
        <f ca="1">DOC</f>
        <v>004</v>
      </c>
      <c r="G138" s="468" t="s">
        <v>230</v>
      </c>
      <c r="H138" s="469" t="s">
        <v>255</v>
      </c>
      <c r="I138" s="470">
        <v>1</v>
      </c>
      <c r="J138" s="471">
        <v>8020</v>
      </c>
      <c r="K138" s="471">
        <v>4630</v>
      </c>
      <c r="L138" s="472">
        <f ca="1">NET</f>
        <v>3390</v>
      </c>
      <c r="M138" s="222" t="str">
        <f ca="1">DL</f>
        <v>DARAT</v>
      </c>
      <c r="Q138" s="346"/>
    </row>
    <row r="139" spans="2:17" ht="15">
      <c r="B139" s="465" t="str">
        <f ca="1">SUPPAJA</f>
        <v>SAIRI</v>
      </c>
      <c r="C139" s="338">
        <f ca="1">IF(COUNTIFS($B$3:B139,DATAKBA[[#This Row],[NAMA SUPP]],$E$3:E139,DATAKBA[[#This Row],[TANGGAL]])&lt;&gt;1,0,1)</f>
        <v>1</v>
      </c>
      <c r="D139" s="222">
        <f t="shared" si="14"/>
        <v>5</v>
      </c>
      <c r="E139" s="466">
        <v>43853</v>
      </c>
      <c r="F139" s="473" t="str">
        <f ca="1">DOC</f>
        <v>011</v>
      </c>
      <c r="G139" s="474" t="s">
        <v>78</v>
      </c>
      <c r="H139" s="475" t="s">
        <v>267</v>
      </c>
      <c r="I139" s="476">
        <v>5</v>
      </c>
      <c r="J139" s="471">
        <v>35580</v>
      </c>
      <c r="K139" s="471">
        <v>14800</v>
      </c>
      <c r="L139" s="472">
        <f ca="1">NET</f>
        <v>20780</v>
      </c>
      <c r="M139" s="222" t="str">
        <f ca="1">DL</f>
        <v>DARAT</v>
      </c>
      <c r="Q139" s="346"/>
    </row>
    <row r="140" spans="2:17" ht="15">
      <c r="B140" s="465" t="str">
        <f ca="1">SUPPAJA</f>
        <v>DINI CHAIRANI</v>
      </c>
      <c r="C140" s="338">
        <f ca="1">IF(COUNTIFS($B$3:B140,DATAKBA[[#This Row],[NAMA SUPP]],$E$3:E140,DATAKBA[[#This Row],[TANGGAL]])&lt;&gt;1,0,1)</f>
        <v>1</v>
      </c>
      <c r="D140" s="222">
        <f t="shared" si="14"/>
        <v>6</v>
      </c>
      <c r="E140" s="466">
        <v>43853</v>
      </c>
      <c r="F140" s="473" t="str">
        <f ca="1">DOC</f>
        <v>011</v>
      </c>
      <c r="G140" s="474" t="s">
        <v>354</v>
      </c>
      <c r="H140" s="475" t="s">
        <v>268</v>
      </c>
      <c r="I140" s="476">
        <v>1</v>
      </c>
      <c r="J140" s="471">
        <v>6560</v>
      </c>
      <c r="K140" s="471">
        <v>3960</v>
      </c>
      <c r="L140" s="472">
        <f ca="1">NET</f>
        <v>2600</v>
      </c>
      <c r="M140" s="222" t="str">
        <f ca="1">DL</f>
        <v>LAUT</v>
      </c>
      <c r="Q140" s="346"/>
    </row>
    <row r="141" spans="2:17" ht="15">
      <c r="B141" s="465" t="str">
        <f ca="1">SUPPAJA</f>
        <v>HENDRI</v>
      </c>
      <c r="C141" s="338">
        <f ca="1">IF(COUNTIFS($B$3:B141,DATAKBA[[#This Row],[NAMA SUPP]],$E$3:E141,DATAKBA[[#This Row],[TANGGAL]])&lt;&gt;1,0,1)</f>
        <v>1</v>
      </c>
      <c r="D141" s="222">
        <f t="shared" si="14"/>
        <v>7</v>
      </c>
      <c r="E141" s="466">
        <v>43853</v>
      </c>
      <c r="F141" s="467" t="str">
        <f ca="1">DOC</f>
        <v>010</v>
      </c>
      <c r="G141" s="468" t="s">
        <v>355</v>
      </c>
      <c r="H141" s="469" t="s">
        <v>255</v>
      </c>
      <c r="I141" s="470">
        <v>1</v>
      </c>
      <c r="J141" s="471">
        <v>8730</v>
      </c>
      <c r="K141" s="471">
        <v>3890</v>
      </c>
      <c r="L141" s="472">
        <f ca="1">NET</f>
        <v>4840</v>
      </c>
      <c r="M141" s="222" t="str">
        <f ca="1">DL</f>
        <v>LAUT</v>
      </c>
      <c r="Q141" s="346"/>
    </row>
    <row r="142" spans="2:17" ht="15">
      <c r="B142" s="465" t="str">
        <f ca="1">SUPPAJA</f>
        <v>MARTONO</v>
      </c>
      <c r="C142" s="338">
        <f ca="1">IF(COUNTIFS($B$3:B142,DATAKBA[[#This Row],[NAMA SUPP]],$E$3:E142,DATAKBA[[#This Row],[TANGGAL]])&lt;&gt;1,0,1)</f>
        <v>1</v>
      </c>
      <c r="D142" s="222">
        <f t="shared" si="14"/>
        <v>8</v>
      </c>
      <c r="E142" s="466">
        <v>43853</v>
      </c>
      <c r="F142" s="467" t="str">
        <f ca="1">DOC</f>
        <v>013</v>
      </c>
      <c r="G142" s="468" t="s">
        <v>256</v>
      </c>
      <c r="H142" s="469" t="s">
        <v>257</v>
      </c>
      <c r="I142" s="470">
        <v>1</v>
      </c>
      <c r="J142" s="471">
        <v>8120</v>
      </c>
      <c r="K142" s="471">
        <v>3800</v>
      </c>
      <c r="L142" s="472">
        <f ca="1">NET</f>
        <v>4320</v>
      </c>
      <c r="M142" s="222" t="str">
        <f ca="1">DL</f>
        <v>LAUT</v>
      </c>
      <c r="Q142" s="346"/>
    </row>
    <row r="143" spans="2:17" ht="15">
      <c r="B143" s="465" t="str">
        <f ca="1">SUPPAJA</f>
        <v>MARTONO</v>
      </c>
      <c r="C143" s="338">
        <f ca="1">IF(COUNTIFS($B$3:B143,DATAKBA[[#This Row],[NAMA SUPP]],$E$3:E143,DATAKBA[[#This Row],[TANGGAL]])&lt;&gt;1,0,1)</f>
        <v>0</v>
      </c>
      <c r="D143" s="222">
        <f t="shared" si="14"/>
        <v>9</v>
      </c>
      <c r="E143" s="466">
        <v>43853</v>
      </c>
      <c r="F143" s="467" t="str">
        <f ca="1">DOC</f>
        <v/>
      </c>
      <c r="G143" s="468" t="s">
        <v>356</v>
      </c>
      <c r="H143" s="469" t="s">
        <v>257</v>
      </c>
      <c r="I143" s="470">
        <v>2</v>
      </c>
      <c r="J143" s="471">
        <v>13970</v>
      </c>
      <c r="K143" s="471">
        <v>7680</v>
      </c>
      <c r="L143" s="472">
        <f ca="1">NET</f>
        <v>6290</v>
      </c>
      <c r="M143" s="222" t="str">
        <f ca="1">DL</f>
        <v>LAUT</v>
      </c>
      <c r="Q143" s="346"/>
    </row>
    <row r="144" spans="2:17" ht="15">
      <c r="B144" s="465" t="str">
        <f ca="1">SUPPAJA</f>
        <v>MASRI</v>
      </c>
      <c r="C144" s="338">
        <f ca="1">IF(COUNTIFS($B$3:B144,DATAKBA[[#This Row],[NAMA SUPP]],$E$3:E144,DATAKBA[[#This Row],[TANGGAL]])&lt;&gt;1,0,1)</f>
        <v>1</v>
      </c>
      <c r="D144" s="222">
        <f t="shared" si="14"/>
        <v>10</v>
      </c>
      <c r="E144" s="466">
        <v>43853</v>
      </c>
      <c r="F144" s="467" t="str">
        <f ca="1">DOC</f>
        <v>010</v>
      </c>
      <c r="G144" s="468" t="s">
        <v>357</v>
      </c>
      <c r="H144" s="469" t="s">
        <v>260</v>
      </c>
      <c r="I144" s="470">
        <v>21</v>
      </c>
      <c r="J144" s="471">
        <v>177470</v>
      </c>
      <c r="K144" s="471">
        <v>81630</v>
      </c>
      <c r="L144" s="472">
        <f ca="1">NET</f>
        <v>95840</v>
      </c>
      <c r="M144" s="222" t="str">
        <f ca="1">DL</f>
        <v>LAUT</v>
      </c>
      <c r="Q144" s="346"/>
    </row>
    <row r="145" spans="2:17" ht="15">
      <c r="B145" s="465" t="str">
        <f ca="1">SUPPAJA</f>
        <v>SUKAMTO</v>
      </c>
      <c r="C145" s="338">
        <f ca="1">IF(COUNTIFS($B$3:B145,DATAKBA[[#This Row],[NAMA SUPP]],$E$3:E145,DATAKBA[[#This Row],[TANGGAL]])&lt;&gt;1,0,1)</f>
        <v>1</v>
      </c>
      <c r="D145" s="222">
        <f t="shared" si="14"/>
        <v>11</v>
      </c>
      <c r="E145" s="466">
        <v>43853</v>
      </c>
      <c r="F145" s="467" t="str">
        <f ca="1">DOC</f>
        <v>006</v>
      </c>
      <c r="G145" s="474" t="s">
        <v>274</v>
      </c>
      <c r="H145" s="475" t="s">
        <v>275</v>
      </c>
      <c r="I145" s="476">
        <v>1</v>
      </c>
      <c r="J145" s="471">
        <v>8380</v>
      </c>
      <c r="K145" s="471">
        <v>3890</v>
      </c>
      <c r="L145" s="472">
        <f ca="1">NET</f>
        <v>4490</v>
      </c>
      <c r="M145" s="222" t="str">
        <f ca="1">DL</f>
        <v>LAUT</v>
      </c>
      <c r="Q145" s="346"/>
    </row>
    <row r="146" spans="2:17" ht="15">
      <c r="B146" s="465" t="str">
        <f ca="1">SUPPAJA</f>
        <v>ERAWATI</v>
      </c>
      <c r="C146" s="338">
        <f ca="1">IF(COUNTIFS($B$3:B146,DATAKBA[[#This Row],[NAMA SUPP]],$E$3:E146,DATAKBA[[#This Row],[TANGGAL]])&lt;&gt;1,0,1)</f>
        <v>1</v>
      </c>
      <c r="D146" s="222">
        <f t="shared" si="14"/>
        <v>1</v>
      </c>
      <c r="E146" s="466">
        <f>E145+1</f>
        <v>43854</v>
      </c>
      <c r="F146" s="467" t="str">
        <f ca="1">DOC</f>
        <v>018</v>
      </c>
      <c r="G146" s="468" t="s">
        <v>220</v>
      </c>
      <c r="H146" s="469" t="s">
        <v>253</v>
      </c>
      <c r="I146" s="470">
        <v>4</v>
      </c>
      <c r="J146" s="471">
        <v>34250</v>
      </c>
      <c r="K146" s="471">
        <v>17530</v>
      </c>
      <c r="L146" s="472">
        <v>16720</v>
      </c>
      <c r="M146" s="222" t="str">
        <f ca="1">DL</f>
        <v>DARAT</v>
      </c>
      <c r="Q146" s="346"/>
    </row>
    <row r="147" spans="2:17" ht="15">
      <c r="B147" s="465" t="str">
        <f ca="1">SUPPAJA</f>
        <v>ERAWATI</v>
      </c>
      <c r="C147" s="338">
        <f ca="1">IF(COUNTIFS($B$3:B147,DATAKBA[[#This Row],[NAMA SUPP]],$E$3:E147,DATAKBA[[#This Row],[TANGGAL]])&lt;&gt;1,0,1)</f>
        <v>0</v>
      </c>
      <c r="D147" s="222">
        <f t="shared" si="14"/>
        <v>2</v>
      </c>
      <c r="E147" s="466">
        <v>43854</v>
      </c>
      <c r="F147" s="467" t="str">
        <f ca="1">DOC</f>
        <v/>
      </c>
      <c r="G147" s="468" t="s">
        <v>252</v>
      </c>
      <c r="H147" s="469" t="s">
        <v>253</v>
      </c>
      <c r="I147" s="470">
        <v>1</v>
      </c>
      <c r="J147" s="471">
        <v>8300</v>
      </c>
      <c r="K147" s="471">
        <v>3870</v>
      </c>
      <c r="L147" s="472">
        <v>4430</v>
      </c>
      <c r="M147" s="222" t="str">
        <f ca="1">DL</f>
        <v>LAUT</v>
      </c>
      <c r="Q147" s="346"/>
    </row>
    <row r="148" spans="2:17" ht="15">
      <c r="B148" s="465" t="str">
        <f ca="1">SUPPAJA</f>
        <v>INDRAYANI</v>
      </c>
      <c r="C148" s="338">
        <f ca="1">IF(COUNTIFS($B$3:B148,DATAKBA[[#This Row],[NAMA SUPP]],$E$3:E148,DATAKBA[[#This Row],[TANGGAL]])&lt;&gt;1,0,1)</f>
        <v>1</v>
      </c>
      <c r="D148" s="222">
        <f t="shared" si="14"/>
        <v>3</v>
      </c>
      <c r="E148" s="466">
        <v>43854</v>
      </c>
      <c r="F148" s="467" t="str">
        <f ca="1">DOC</f>
        <v>016</v>
      </c>
      <c r="G148" s="468" t="s">
        <v>99</v>
      </c>
      <c r="H148" s="469" t="s">
        <v>253</v>
      </c>
      <c r="I148" s="470">
        <v>3</v>
      </c>
      <c r="J148" s="471">
        <v>34410</v>
      </c>
      <c r="K148" s="471">
        <v>12970</v>
      </c>
      <c r="L148" s="472">
        <v>21440</v>
      </c>
      <c r="M148" s="222" t="str">
        <f ca="1">DL</f>
        <v>DARAT</v>
      </c>
      <c r="Q148" s="346"/>
    </row>
    <row r="149" spans="2:17" ht="15">
      <c r="B149" s="465" t="str">
        <f ca="1">SUPPAJA</f>
        <v>RUSLAN JAYA, SH</v>
      </c>
      <c r="C149" s="338">
        <f ca="1">IF(COUNTIFS($B$3:B149,DATAKBA[[#This Row],[NAMA SUPP]],$E$3:E149,DATAKBA[[#This Row],[TANGGAL]])&lt;&gt;1,0,1)</f>
        <v>1</v>
      </c>
      <c r="D149" s="222">
        <f t="shared" si="14"/>
        <v>4</v>
      </c>
      <c r="E149" s="466">
        <v>43854</v>
      </c>
      <c r="F149" s="467" t="str">
        <f ca="1">DOC</f>
        <v>005</v>
      </c>
      <c r="G149" s="468" t="s">
        <v>230</v>
      </c>
      <c r="H149" s="469" t="s">
        <v>255</v>
      </c>
      <c r="I149" s="470">
        <v>1</v>
      </c>
      <c r="J149" s="471">
        <v>9760</v>
      </c>
      <c r="K149" s="471">
        <v>4650</v>
      </c>
      <c r="L149" s="472">
        <v>5110</v>
      </c>
      <c r="M149" s="222" t="str">
        <f ca="1">DL</f>
        <v>DARAT</v>
      </c>
      <c r="Q149" s="346"/>
    </row>
    <row r="150" spans="2:17" ht="15">
      <c r="B150" s="465" t="str">
        <f ca="1">SUPPAJA</f>
        <v>SAIRI</v>
      </c>
      <c r="C150" s="338">
        <f ca="1">IF(COUNTIFS($B$3:B150,DATAKBA[[#This Row],[NAMA SUPP]],$E$3:E150,DATAKBA[[#This Row],[TANGGAL]])&lt;&gt;1,0,1)</f>
        <v>1</v>
      </c>
      <c r="D150" s="222">
        <f t="shared" si="14"/>
        <v>5</v>
      </c>
      <c r="E150" s="466">
        <v>43854</v>
      </c>
      <c r="F150" s="467" t="str">
        <f ca="1">DOC</f>
        <v>012</v>
      </c>
      <c r="G150" s="468" t="s">
        <v>78</v>
      </c>
      <c r="H150" s="469" t="s">
        <v>267</v>
      </c>
      <c r="I150" s="470">
        <v>1</v>
      </c>
      <c r="J150" s="471">
        <v>4260</v>
      </c>
      <c r="K150" s="471">
        <v>1530</v>
      </c>
      <c r="L150" s="472">
        <v>2730</v>
      </c>
      <c r="M150" s="222" t="str">
        <f ca="1">DL</f>
        <v>DARAT</v>
      </c>
      <c r="Q150" s="346"/>
    </row>
    <row r="151" spans="2:17" ht="15">
      <c r="B151" s="465" t="str">
        <f ca="1">SUPPAJA</f>
        <v>YANADI</v>
      </c>
      <c r="C151" s="338">
        <f ca="1">IF(COUNTIFS($B$3:B151,DATAKBA[[#This Row],[NAMA SUPP]],$E$3:E151,DATAKBA[[#This Row],[TANGGAL]])&lt;&gt;1,0,1)</f>
        <v>1</v>
      </c>
      <c r="D151" s="222">
        <f t="shared" si="14"/>
        <v>6</v>
      </c>
      <c r="E151" s="466">
        <v>43854</v>
      </c>
      <c r="F151" s="467" t="str">
        <f ca="1">DOC</f>
        <v>008</v>
      </c>
      <c r="G151" s="474" t="s">
        <v>137</v>
      </c>
      <c r="H151" s="475" t="s">
        <v>265</v>
      </c>
      <c r="I151" s="476">
        <v>2</v>
      </c>
      <c r="J151" s="471">
        <v>26890</v>
      </c>
      <c r="K151" s="471">
        <v>8930</v>
      </c>
      <c r="L151" s="472">
        <v>17960</v>
      </c>
      <c r="M151" s="222" t="str">
        <f ca="1">DL</f>
        <v>DARAT</v>
      </c>
      <c r="Q151" s="346"/>
    </row>
    <row r="152" spans="2:17" ht="15">
      <c r="B152" s="465" t="str">
        <f ca="1">SUPPAJA</f>
        <v>YANADI</v>
      </c>
      <c r="C152" s="338">
        <f ca="1">IF(COUNTIFS($B$3:B152,DATAKBA[[#This Row],[NAMA SUPP]],$E$3:E152,DATAKBA[[#This Row],[TANGGAL]])&lt;&gt;1,0,1)</f>
        <v>0</v>
      </c>
      <c r="D152" s="222">
        <f t="shared" si="14"/>
        <v>7</v>
      </c>
      <c r="E152" s="466">
        <v>43854</v>
      </c>
      <c r="F152" s="467" t="str">
        <f ca="1">DOC</f>
        <v/>
      </c>
      <c r="G152" s="474" t="s">
        <v>281</v>
      </c>
      <c r="H152" s="475" t="s">
        <v>265</v>
      </c>
      <c r="I152" s="476">
        <v>2</v>
      </c>
      <c r="J152" s="471">
        <v>16590</v>
      </c>
      <c r="K152" s="471">
        <v>7890</v>
      </c>
      <c r="L152" s="472">
        <v>8700</v>
      </c>
      <c r="M152" s="222" t="str">
        <f ca="1">DL</f>
        <v>LAUT</v>
      </c>
      <c r="Q152" s="346"/>
    </row>
    <row r="153" spans="2:17" ht="15">
      <c r="B153" s="465" t="str">
        <f ca="1">SUPPAJA</f>
        <v>DINI CHAIRANI</v>
      </c>
      <c r="C153" s="338">
        <f ca="1">IF(COUNTIFS($B$3:B153,DATAKBA[[#This Row],[NAMA SUPP]],$E$3:E153,DATAKBA[[#This Row],[TANGGAL]])&lt;&gt;1,0,1)</f>
        <v>1</v>
      </c>
      <c r="D153" s="222">
        <f t="shared" si="14"/>
        <v>8</v>
      </c>
      <c r="E153" s="466">
        <v>43854</v>
      </c>
      <c r="F153" s="467" t="str">
        <f ca="1">DOC</f>
        <v>012</v>
      </c>
      <c r="G153" s="468" t="s">
        <v>269</v>
      </c>
      <c r="H153" s="469" t="s">
        <v>268</v>
      </c>
      <c r="I153" s="470">
        <v>5</v>
      </c>
      <c r="J153" s="471">
        <v>41120</v>
      </c>
      <c r="K153" s="471">
        <v>19560</v>
      </c>
      <c r="L153" s="472">
        <v>21560</v>
      </c>
      <c r="M153" s="222" t="str">
        <f ca="1">DL</f>
        <v>LAUT</v>
      </c>
      <c r="Q153" s="346"/>
    </row>
    <row r="154" spans="2:17" ht="15">
      <c r="B154" s="465" t="str">
        <f ca="1">SUPPAJA</f>
        <v>DINI CHAIRANI</v>
      </c>
      <c r="C154" s="338">
        <f ca="1">IF(COUNTIFS($B$3:B154,DATAKBA[[#This Row],[NAMA SUPP]],$E$3:E154,DATAKBA[[#This Row],[TANGGAL]])&lt;&gt;1,0,1)</f>
        <v>0</v>
      </c>
      <c r="D154" s="222">
        <f t="shared" si="14"/>
        <v>9</v>
      </c>
      <c r="E154" s="466">
        <v>43854</v>
      </c>
      <c r="F154" s="467" t="str">
        <f ca="1">DOC</f>
        <v/>
      </c>
      <c r="G154" s="468" t="s">
        <v>334</v>
      </c>
      <c r="H154" s="469" t="s">
        <v>268</v>
      </c>
      <c r="I154" s="470">
        <v>2</v>
      </c>
      <c r="J154" s="471">
        <v>16530</v>
      </c>
      <c r="K154" s="471">
        <v>7720</v>
      </c>
      <c r="L154" s="472">
        <v>8810</v>
      </c>
      <c r="M154" s="222" t="str">
        <f ca="1">DL</f>
        <v>LAUT</v>
      </c>
      <c r="Q154" s="346"/>
    </row>
    <row r="155" spans="2:17" ht="15">
      <c r="B155" s="465" t="str">
        <f ca="1">SUPPAJA</f>
        <v>MARTONO</v>
      </c>
      <c r="C155" s="338">
        <f ca="1">IF(COUNTIFS($B$3:B155,DATAKBA[[#This Row],[NAMA SUPP]],$E$3:E155,DATAKBA[[#This Row],[TANGGAL]])&lt;&gt;1,0,1)</f>
        <v>1</v>
      </c>
      <c r="D155" s="222">
        <f t="shared" si="14"/>
        <v>10</v>
      </c>
      <c r="E155" s="466">
        <v>43854</v>
      </c>
      <c r="F155" s="467" t="str">
        <f ca="1">DOC</f>
        <v>014</v>
      </c>
      <c r="G155" s="468" t="s">
        <v>326</v>
      </c>
      <c r="H155" s="469" t="s">
        <v>257</v>
      </c>
      <c r="I155" s="470">
        <v>4</v>
      </c>
      <c r="J155" s="471">
        <v>33590</v>
      </c>
      <c r="K155" s="471">
        <v>15730</v>
      </c>
      <c r="L155" s="472">
        <v>17860</v>
      </c>
      <c r="M155" s="222" t="str">
        <f ca="1">DL</f>
        <v>LAUT</v>
      </c>
      <c r="Q155" s="346"/>
    </row>
    <row r="156" spans="2:17" ht="15">
      <c r="B156" s="465" t="str">
        <f ca="1">SUPPAJA</f>
        <v>MARTONO</v>
      </c>
      <c r="C156" s="338">
        <f ca="1">IF(COUNTIFS($B$3:B156,DATAKBA[[#This Row],[NAMA SUPP]],$E$3:E156,DATAKBA[[#This Row],[TANGGAL]])&lt;&gt;1,0,1)</f>
        <v>0</v>
      </c>
      <c r="D156" s="222">
        <f t="shared" si="14"/>
        <v>11</v>
      </c>
      <c r="E156" s="466">
        <v>43854</v>
      </c>
      <c r="F156" s="467" t="str">
        <f ca="1">DOC</f>
        <v/>
      </c>
      <c r="G156" s="468" t="s">
        <v>358</v>
      </c>
      <c r="H156" s="469" t="s">
        <v>257</v>
      </c>
      <c r="I156" s="470">
        <v>1</v>
      </c>
      <c r="J156" s="471">
        <v>6140</v>
      </c>
      <c r="K156" s="471">
        <v>3950</v>
      </c>
      <c r="L156" s="472">
        <v>2190</v>
      </c>
      <c r="M156" s="222" t="str">
        <f ca="1">DL</f>
        <v>LAUT</v>
      </c>
      <c r="Q156" s="346"/>
    </row>
    <row r="157" spans="2:17" ht="15">
      <c r="B157" s="465" t="str">
        <f ca="1">SUPPAJA</f>
        <v>MARTONO</v>
      </c>
      <c r="C157" s="338">
        <f ca="1">IF(COUNTIFS($B$3:B157,DATAKBA[[#This Row],[NAMA SUPP]],$E$3:E157,DATAKBA[[#This Row],[TANGGAL]])&lt;&gt;1,0,1)</f>
        <v>0</v>
      </c>
      <c r="D157" s="222">
        <f t="shared" si="14"/>
        <v>12</v>
      </c>
      <c r="E157" s="466">
        <v>43854</v>
      </c>
      <c r="F157" s="467" t="str">
        <f ca="1">DOC</f>
        <v/>
      </c>
      <c r="G157" s="468" t="s">
        <v>359</v>
      </c>
      <c r="H157" s="469" t="s">
        <v>257</v>
      </c>
      <c r="I157" s="470">
        <v>5</v>
      </c>
      <c r="J157" s="471">
        <v>38880</v>
      </c>
      <c r="K157" s="471">
        <v>19350</v>
      </c>
      <c r="L157" s="472">
        <v>19530</v>
      </c>
      <c r="M157" s="222" t="str">
        <f ca="1">DL</f>
        <v>LAUT</v>
      </c>
      <c r="Q157" s="346"/>
    </row>
    <row r="158" spans="2:17" ht="15">
      <c r="B158" s="465" t="str">
        <f ca="1">SUPPAJA</f>
        <v>MARTONO</v>
      </c>
      <c r="C158" s="338">
        <f ca="1">IF(COUNTIFS($B$3:B158,DATAKBA[[#This Row],[NAMA SUPP]],$E$3:E158,DATAKBA[[#This Row],[TANGGAL]])&lt;&gt;1,0,1)</f>
        <v>0</v>
      </c>
      <c r="D158" s="222">
        <f t="shared" si="14"/>
        <v>13</v>
      </c>
      <c r="E158" s="466">
        <v>43854</v>
      </c>
      <c r="F158" s="467" t="str">
        <f ca="1">DOC</f>
        <v/>
      </c>
      <c r="G158" s="468" t="s">
        <v>347</v>
      </c>
      <c r="H158" s="469" t="s">
        <v>257</v>
      </c>
      <c r="I158" s="470">
        <v>2</v>
      </c>
      <c r="J158" s="471">
        <v>17530</v>
      </c>
      <c r="K158" s="471">
        <v>7790</v>
      </c>
      <c r="L158" s="472">
        <v>9740</v>
      </c>
      <c r="M158" s="222" t="str">
        <f ca="1">DL</f>
        <v>LAUT</v>
      </c>
      <c r="Q158" s="346"/>
    </row>
    <row r="159" spans="2:17" ht="15">
      <c r="B159" s="465" t="str">
        <f ca="1">SUPPAJA</f>
        <v>MARTONO</v>
      </c>
      <c r="C159" s="338">
        <f ca="1">IF(COUNTIFS($B$3:B159,DATAKBA[[#This Row],[NAMA SUPP]],$E$3:E159,DATAKBA[[#This Row],[TANGGAL]])&lt;&gt;1,0,1)</f>
        <v>0</v>
      </c>
      <c r="D159" s="222">
        <f t="shared" si="14"/>
        <v>14</v>
      </c>
      <c r="E159" s="466">
        <v>43854</v>
      </c>
      <c r="F159" s="467" t="str">
        <f ca="1">DOC</f>
        <v/>
      </c>
      <c r="G159" s="468" t="s">
        <v>271</v>
      </c>
      <c r="H159" s="469" t="s">
        <v>257</v>
      </c>
      <c r="I159" s="470">
        <v>3</v>
      </c>
      <c r="J159" s="471">
        <v>25590</v>
      </c>
      <c r="K159" s="471">
        <v>11710</v>
      </c>
      <c r="L159" s="472">
        <v>13880</v>
      </c>
      <c r="M159" s="222" t="str">
        <f ca="1">DL</f>
        <v>LAUT</v>
      </c>
      <c r="Q159" s="346"/>
    </row>
    <row r="160" spans="2:17" ht="15">
      <c r="B160" s="465" t="str">
        <f ca="1">SUPPAJA</f>
        <v>PT.SINAR KELAPA TEMBILAHAN</v>
      </c>
      <c r="C160" s="338">
        <f ca="1">IF(COUNTIFS($B$3:B160,DATAKBA[[#This Row],[NAMA SUPP]],$E$3:E160,DATAKBA[[#This Row],[TANGGAL]])&lt;&gt;1,0,1)</f>
        <v>1</v>
      </c>
      <c r="D160" s="222">
        <f t="shared" si="14"/>
        <v>15</v>
      </c>
      <c r="E160" s="466">
        <v>43854</v>
      </c>
      <c r="F160" s="467" t="str">
        <f ca="1">DOC</f>
        <v>002</v>
      </c>
      <c r="G160" s="468" t="s">
        <v>360</v>
      </c>
      <c r="H160" s="469" t="s">
        <v>262</v>
      </c>
      <c r="I160" s="470">
        <v>6</v>
      </c>
      <c r="J160" s="471">
        <v>49680</v>
      </c>
      <c r="K160" s="471">
        <v>23260</v>
      </c>
      <c r="L160" s="472">
        <v>26420</v>
      </c>
      <c r="M160" s="222" t="str">
        <f ca="1">DL</f>
        <v>LAUT</v>
      </c>
      <c r="Q160" s="346"/>
    </row>
    <row r="161" spans="2:17" ht="15">
      <c r="B161" s="465" t="str">
        <f ca="1">SUPPAJA</f>
        <v>PT.SINAR KELAPA TEMBILAHAN</v>
      </c>
      <c r="C161" s="338">
        <f ca="1">IF(COUNTIFS($B$3:B161,DATAKBA[[#This Row],[NAMA SUPP]],$E$3:E161,DATAKBA[[#This Row],[TANGGAL]])&lt;&gt;1,0,1)</f>
        <v>0</v>
      </c>
      <c r="D161" s="222">
        <f t="shared" si="14"/>
        <v>16</v>
      </c>
      <c r="E161" s="466">
        <v>43854</v>
      </c>
      <c r="F161" s="467" t="str">
        <f ca="1">DOC</f>
        <v/>
      </c>
      <c r="G161" s="468" t="s">
        <v>361</v>
      </c>
      <c r="H161" s="469" t="s">
        <v>262</v>
      </c>
      <c r="I161" s="470">
        <v>2</v>
      </c>
      <c r="J161" s="471">
        <v>14070</v>
      </c>
      <c r="K161" s="471">
        <v>7720</v>
      </c>
      <c r="L161" s="472">
        <v>6350</v>
      </c>
      <c r="M161" s="222" t="str">
        <f ca="1">DL</f>
        <v>LAUT</v>
      </c>
      <c r="Q161" s="346"/>
    </row>
    <row r="162" spans="2:17" ht="15">
      <c r="B162" s="465" t="str">
        <f ca="1">SUPPAJA</f>
        <v>PT.SINAR KELAPA TEMBILAHAN</v>
      </c>
      <c r="C162" s="338">
        <f ca="1">IF(COUNTIFS($B$3:B162,DATAKBA[[#This Row],[NAMA SUPP]],$E$3:E162,DATAKBA[[#This Row],[TANGGAL]])&lt;&gt;1,0,1)</f>
        <v>0</v>
      </c>
      <c r="D162" s="222">
        <f t="shared" si="14"/>
        <v>17</v>
      </c>
      <c r="E162" s="466">
        <v>43854</v>
      </c>
      <c r="F162" s="467" t="str">
        <f ca="1">DOC</f>
        <v/>
      </c>
      <c r="G162" s="468" t="s">
        <v>261</v>
      </c>
      <c r="H162" s="469" t="s">
        <v>262</v>
      </c>
      <c r="I162" s="470">
        <v>4</v>
      </c>
      <c r="J162" s="471">
        <v>34180</v>
      </c>
      <c r="K162" s="471">
        <v>15500</v>
      </c>
      <c r="L162" s="472">
        <v>18680</v>
      </c>
      <c r="M162" s="222" t="str">
        <f ca="1">DL</f>
        <v>LAUT</v>
      </c>
      <c r="Q162" s="346"/>
    </row>
    <row r="163" spans="2:17" ht="15">
      <c r="B163" s="465" t="str">
        <f ca="1">SUPPAJA</f>
        <v>PT.SINAR KELAPA TEMBILAHAN</v>
      </c>
      <c r="C163" s="338">
        <f ca="1">IF(COUNTIFS($B$3:B163,DATAKBA[[#This Row],[NAMA SUPP]],$E$3:E163,DATAKBA[[#This Row],[TANGGAL]])&lt;&gt;1,0,1)</f>
        <v>0</v>
      </c>
      <c r="D163" s="222">
        <f t="shared" si="14"/>
        <v>18</v>
      </c>
      <c r="E163" s="466">
        <v>43854</v>
      </c>
      <c r="F163" s="467" t="str">
        <f ca="1">DOC</f>
        <v/>
      </c>
      <c r="G163" s="468" t="s">
        <v>362</v>
      </c>
      <c r="H163" s="469" t="s">
        <v>262</v>
      </c>
      <c r="I163" s="470">
        <v>2</v>
      </c>
      <c r="J163" s="471">
        <v>15620</v>
      </c>
      <c r="K163" s="471">
        <v>7710</v>
      </c>
      <c r="L163" s="472">
        <v>7910</v>
      </c>
      <c r="M163" s="222" t="str">
        <f ca="1">DL</f>
        <v>LAUT</v>
      </c>
      <c r="Q163" s="346"/>
    </row>
    <row r="164" spans="2:17" ht="15">
      <c r="B164" s="477" t="str">
        <f ca="1">SUPPAJA</f>
        <v>ERAWATI</v>
      </c>
      <c r="C164" s="338">
        <f ca="1">IF(COUNTIFS($B$3:B164,DATAKBA[[#This Row],[NAMA SUPP]],$E$3:E164,DATAKBA[[#This Row],[TANGGAL]])&lt;&gt;1,0,1)</f>
        <v>1</v>
      </c>
      <c r="D164" s="222">
        <f t="shared" ref="D164:D181" si="15">COUNTER_RUDI</f>
        <v>1</v>
      </c>
      <c r="E164" s="478">
        <v>43858</v>
      </c>
      <c r="F164" s="479" t="str">
        <f ca="1">DOC</f>
        <v>019</v>
      </c>
      <c r="G164" s="480" t="s">
        <v>220</v>
      </c>
      <c r="H164" s="481" t="s">
        <v>253</v>
      </c>
      <c r="I164" s="482">
        <v>16</v>
      </c>
      <c r="J164" s="483">
        <v>137510</v>
      </c>
      <c r="K164" s="483">
        <v>57480</v>
      </c>
      <c r="L164" s="484">
        <f ca="1">NET</f>
        <v>80030</v>
      </c>
      <c r="M164" s="222" t="str">
        <f ca="1">DL</f>
        <v>DARAT</v>
      </c>
      <c r="Q164" s="346"/>
    </row>
    <row r="165" spans="2:17" ht="15">
      <c r="B165" s="477" t="str">
        <f ca="1">SUPPAJA</f>
        <v>INDRAYANI</v>
      </c>
      <c r="C165" s="338">
        <f ca="1">IF(COUNTIFS($B$3:B165,DATAKBA[[#This Row],[NAMA SUPP]],$E$3:E165,DATAKBA[[#This Row],[TANGGAL]])&lt;&gt;1,0,1)</f>
        <v>1</v>
      </c>
      <c r="D165" s="222">
        <f t="shared" si="15"/>
        <v>2</v>
      </c>
      <c r="E165" s="478">
        <v>43858</v>
      </c>
      <c r="F165" s="479" t="str">
        <f ca="1">DOC</f>
        <v>017</v>
      </c>
      <c r="G165" s="480" t="s">
        <v>99</v>
      </c>
      <c r="H165" s="481" t="s">
        <v>253</v>
      </c>
      <c r="I165" s="482">
        <v>4</v>
      </c>
      <c r="J165" s="483">
        <v>42380</v>
      </c>
      <c r="K165" s="483">
        <v>13460</v>
      </c>
      <c r="L165" s="484">
        <f ca="1">NET</f>
        <v>28920</v>
      </c>
      <c r="M165" s="222" t="str">
        <f ca="1">DL</f>
        <v>DARAT</v>
      </c>
      <c r="Q165" s="346"/>
    </row>
    <row r="166" spans="2:17" ht="15">
      <c r="B166" s="477" t="str">
        <f ca="1">SUPPAJA</f>
        <v>RUSLAN JAYA, SH</v>
      </c>
      <c r="C166" s="338">
        <f ca="1">IF(COUNTIFS($B$3:B166,DATAKBA[[#This Row],[NAMA SUPP]],$E$3:E166,DATAKBA[[#This Row],[TANGGAL]])&lt;&gt;1,0,1)</f>
        <v>1</v>
      </c>
      <c r="D166" s="222">
        <f t="shared" si="15"/>
        <v>3</v>
      </c>
      <c r="E166" s="478">
        <v>43858</v>
      </c>
      <c r="F166" s="479" t="str">
        <f ca="1">DOC</f>
        <v>006</v>
      </c>
      <c r="G166" s="480" t="s">
        <v>230</v>
      </c>
      <c r="H166" s="481" t="s">
        <v>255</v>
      </c>
      <c r="I166" s="482">
        <v>4</v>
      </c>
      <c r="J166" s="483">
        <v>46500</v>
      </c>
      <c r="K166" s="483">
        <v>16840</v>
      </c>
      <c r="L166" s="484">
        <f ca="1">NET</f>
        <v>29660</v>
      </c>
      <c r="M166" s="222" t="str">
        <f ca="1">DL</f>
        <v>DARAT</v>
      </c>
      <c r="Q166" s="346"/>
    </row>
    <row r="167" spans="2:17" ht="15">
      <c r="B167" s="477" t="str">
        <f ca="1">SUPPAJA</f>
        <v>SAIRI</v>
      </c>
      <c r="C167" s="338">
        <f ca="1">IF(COUNTIFS($B$3:B167,DATAKBA[[#This Row],[NAMA SUPP]],$E$3:E167,DATAKBA[[#This Row],[TANGGAL]])&lt;&gt;1,0,1)</f>
        <v>1</v>
      </c>
      <c r="D167" s="222">
        <f t="shared" si="15"/>
        <v>4</v>
      </c>
      <c r="E167" s="478">
        <v>43858</v>
      </c>
      <c r="F167" s="479" t="str">
        <f ca="1">DOC</f>
        <v>013</v>
      </c>
      <c r="G167" s="480" t="s">
        <v>78</v>
      </c>
      <c r="H167" s="481" t="s">
        <v>267</v>
      </c>
      <c r="I167" s="482">
        <v>2</v>
      </c>
      <c r="J167" s="483">
        <v>8320</v>
      </c>
      <c r="K167" s="483">
        <v>3040</v>
      </c>
      <c r="L167" s="484">
        <f ca="1">NET</f>
        <v>5280</v>
      </c>
      <c r="M167" s="222" t="str">
        <f ca="1">DL</f>
        <v>DARAT</v>
      </c>
      <c r="Q167" s="346"/>
    </row>
    <row r="168" spans="2:17" ht="15">
      <c r="B168" s="477" t="str">
        <f ca="1">SUPPAJA</f>
        <v>YANADI</v>
      </c>
      <c r="C168" s="338">
        <f ca="1">IF(COUNTIFS($B$3:B168,DATAKBA[[#This Row],[NAMA SUPP]],$E$3:E168,DATAKBA[[#This Row],[TANGGAL]])&lt;&gt;1,0,1)</f>
        <v>1</v>
      </c>
      <c r="D168" s="222">
        <f t="shared" si="15"/>
        <v>5</v>
      </c>
      <c r="E168" s="478">
        <v>43858</v>
      </c>
      <c r="F168" s="485" t="str">
        <f ca="1">DOC</f>
        <v>009</v>
      </c>
      <c r="G168" s="486" t="s">
        <v>137</v>
      </c>
      <c r="H168" s="487" t="s">
        <v>265</v>
      </c>
      <c r="I168" s="488">
        <v>6</v>
      </c>
      <c r="J168" s="483">
        <v>79990</v>
      </c>
      <c r="K168" s="483">
        <v>26820</v>
      </c>
      <c r="L168" s="484">
        <f ca="1">NET</f>
        <v>53170</v>
      </c>
      <c r="M168" s="222" t="str">
        <f ca="1">DL</f>
        <v>DARAT</v>
      </c>
      <c r="Q168" s="346"/>
    </row>
    <row r="169" spans="2:17" ht="15">
      <c r="B169" s="477" t="str">
        <f ca="1">SUPPAJA</f>
        <v>YANADI</v>
      </c>
      <c r="C169" s="338">
        <f ca="1">IF(COUNTIFS($B$3:B169,DATAKBA[[#This Row],[NAMA SUPP]],$E$3:E169,DATAKBA[[#This Row],[TANGGAL]])&lt;&gt;1,0,1)</f>
        <v>0</v>
      </c>
      <c r="D169" s="222">
        <f t="shared" si="15"/>
        <v>6</v>
      </c>
      <c r="E169" s="478">
        <v>43858</v>
      </c>
      <c r="F169" s="485" t="str">
        <f ca="1">DOC</f>
        <v/>
      </c>
      <c r="G169" s="486" t="s">
        <v>281</v>
      </c>
      <c r="H169" s="487" t="s">
        <v>265</v>
      </c>
      <c r="I169" s="488">
        <v>2</v>
      </c>
      <c r="J169" s="483">
        <v>13650</v>
      </c>
      <c r="K169" s="483">
        <v>7820</v>
      </c>
      <c r="L169" s="484">
        <f ca="1">NET</f>
        <v>5830</v>
      </c>
      <c r="M169" s="222" t="str">
        <f ca="1">DL</f>
        <v>LAUT</v>
      </c>
      <c r="Q169" s="346"/>
    </row>
    <row r="170" spans="2:17" ht="15">
      <c r="B170" s="477" t="str">
        <f ca="1">SUPPAJA</f>
        <v>DINI CHAIRANI</v>
      </c>
      <c r="C170" s="338">
        <f ca="1">IF(COUNTIFS($B$3:B170,DATAKBA[[#This Row],[NAMA SUPP]],$E$3:E170,DATAKBA[[#This Row],[TANGGAL]])&lt;&gt;1,0,1)</f>
        <v>1</v>
      </c>
      <c r="D170" s="222">
        <f t="shared" si="15"/>
        <v>7</v>
      </c>
      <c r="E170" s="478">
        <v>43858</v>
      </c>
      <c r="F170" s="479" t="str">
        <f ca="1">DOC</f>
        <v>013</v>
      </c>
      <c r="G170" s="480" t="s">
        <v>334</v>
      </c>
      <c r="H170" s="481" t="s">
        <v>268</v>
      </c>
      <c r="I170" s="482">
        <v>3</v>
      </c>
      <c r="J170" s="483">
        <v>23350</v>
      </c>
      <c r="K170" s="483">
        <v>11660</v>
      </c>
      <c r="L170" s="484">
        <f ca="1">NET</f>
        <v>11690</v>
      </c>
      <c r="M170" s="222" t="str">
        <f ca="1">DL</f>
        <v>LAUT</v>
      </c>
      <c r="Q170" s="346"/>
    </row>
    <row r="171" spans="2:17" ht="15">
      <c r="B171" s="477" t="str">
        <f ca="1">SUPPAJA</f>
        <v>DINI CHAIRANI</v>
      </c>
      <c r="C171" s="338">
        <f ca="1">IF(COUNTIFS($B$3:B171,DATAKBA[[#This Row],[NAMA SUPP]],$E$3:E171,DATAKBA[[#This Row],[TANGGAL]])&lt;&gt;1,0,1)</f>
        <v>0</v>
      </c>
      <c r="D171" s="222">
        <f t="shared" si="15"/>
        <v>8</v>
      </c>
      <c r="E171" s="478">
        <v>43858</v>
      </c>
      <c r="F171" s="479" t="str">
        <f ca="1">DOC</f>
        <v/>
      </c>
      <c r="G171" s="480" t="s">
        <v>276</v>
      </c>
      <c r="H171" s="481" t="s">
        <v>268</v>
      </c>
      <c r="I171" s="482">
        <v>2</v>
      </c>
      <c r="J171" s="483">
        <v>13570</v>
      </c>
      <c r="K171" s="483">
        <v>7810</v>
      </c>
      <c r="L171" s="484">
        <f ca="1">NET</f>
        <v>5760</v>
      </c>
      <c r="M171" s="222" t="str">
        <f ca="1">DL</f>
        <v>LAUT</v>
      </c>
      <c r="Q171" s="346"/>
    </row>
    <row r="172" spans="2:17" ht="15">
      <c r="B172" s="477" t="str">
        <f ca="1">SUPPAJA</f>
        <v>HENDRI</v>
      </c>
      <c r="C172" s="338">
        <f ca="1">IF(COUNTIFS($B$3:B172,DATAKBA[[#This Row],[NAMA SUPP]],$E$3:E172,DATAKBA[[#This Row],[TANGGAL]])&lt;&gt;1,0,1)</f>
        <v>1</v>
      </c>
      <c r="D172" s="222">
        <f t="shared" si="15"/>
        <v>9</v>
      </c>
      <c r="E172" s="478">
        <v>43858</v>
      </c>
      <c r="F172" s="479" t="str">
        <f ca="1">DOC</f>
        <v>011</v>
      </c>
      <c r="G172" s="480" t="s">
        <v>335</v>
      </c>
      <c r="H172" s="481" t="s">
        <v>255</v>
      </c>
      <c r="I172" s="482">
        <v>3</v>
      </c>
      <c r="J172" s="483">
        <v>25540</v>
      </c>
      <c r="K172" s="483">
        <v>11690</v>
      </c>
      <c r="L172" s="484">
        <f ca="1">NET</f>
        <v>13850</v>
      </c>
      <c r="M172" s="222" t="str">
        <f ca="1">DL</f>
        <v>LAUT</v>
      </c>
      <c r="Q172" s="346"/>
    </row>
    <row r="173" spans="2:17" ht="15">
      <c r="B173" s="477" t="str">
        <f ca="1">SUPPAJA</f>
        <v>MARTONO</v>
      </c>
      <c r="C173" s="338">
        <f ca="1">IF(COUNTIFS($B$3:B173,DATAKBA[[#This Row],[NAMA SUPP]],$E$3:E173,DATAKBA[[#This Row],[TANGGAL]])&lt;&gt;1,0,1)</f>
        <v>1</v>
      </c>
      <c r="D173" s="222">
        <f t="shared" si="15"/>
        <v>10</v>
      </c>
      <c r="E173" s="478">
        <v>43858</v>
      </c>
      <c r="F173" s="479" t="str">
        <f ca="1">DOC</f>
        <v>015</v>
      </c>
      <c r="G173" s="480" t="s">
        <v>363</v>
      </c>
      <c r="H173" s="481" t="s">
        <v>257</v>
      </c>
      <c r="I173" s="482">
        <v>1</v>
      </c>
      <c r="J173" s="483">
        <v>9050</v>
      </c>
      <c r="K173" s="483">
        <v>3910</v>
      </c>
      <c r="L173" s="484">
        <f ca="1">NET</f>
        <v>5140</v>
      </c>
      <c r="M173" s="222" t="str">
        <f ca="1">DL</f>
        <v>LAUT</v>
      </c>
      <c r="Q173" s="346"/>
    </row>
    <row r="174" spans="2:17" ht="15">
      <c r="B174" s="477" t="str">
        <f ca="1">SUPPAJA</f>
        <v>MARTONO</v>
      </c>
      <c r="C174" s="338">
        <f ca="1">IF(COUNTIFS($B$3:B174,DATAKBA[[#This Row],[NAMA SUPP]],$E$3:E174,DATAKBA[[#This Row],[TANGGAL]])&lt;&gt;1,0,1)</f>
        <v>0</v>
      </c>
      <c r="D174" s="222">
        <f t="shared" si="15"/>
        <v>11</v>
      </c>
      <c r="E174" s="478">
        <v>43858</v>
      </c>
      <c r="F174" s="479" t="str">
        <f ca="1">DOC</f>
        <v/>
      </c>
      <c r="G174" s="480" t="s">
        <v>278</v>
      </c>
      <c r="H174" s="481" t="s">
        <v>257</v>
      </c>
      <c r="I174" s="482">
        <v>1</v>
      </c>
      <c r="J174" s="483">
        <v>7800</v>
      </c>
      <c r="K174" s="483">
        <v>3910</v>
      </c>
      <c r="L174" s="484">
        <f ca="1">NET</f>
        <v>3890</v>
      </c>
      <c r="M174" s="222" t="str">
        <f ca="1">DL</f>
        <v>LAUT</v>
      </c>
      <c r="Q174" s="346"/>
    </row>
    <row r="175" spans="2:17" ht="15">
      <c r="B175" s="477" t="str">
        <f ca="1">SUPPAJA</f>
        <v>MARTONO</v>
      </c>
      <c r="C175" s="338">
        <f ca="1">IF(COUNTIFS($B$3:B175,DATAKBA[[#This Row],[NAMA SUPP]],$E$3:E175,DATAKBA[[#This Row],[TANGGAL]])&lt;&gt;1,0,1)</f>
        <v>0</v>
      </c>
      <c r="D175" s="222">
        <f t="shared" si="15"/>
        <v>12</v>
      </c>
      <c r="E175" s="478">
        <v>43858</v>
      </c>
      <c r="F175" s="479" t="str">
        <f ca="1">DOC</f>
        <v/>
      </c>
      <c r="G175" s="480" t="s">
        <v>327</v>
      </c>
      <c r="H175" s="481" t="s">
        <v>257</v>
      </c>
      <c r="I175" s="482">
        <v>5</v>
      </c>
      <c r="J175" s="483">
        <v>41760</v>
      </c>
      <c r="K175" s="483">
        <v>19320</v>
      </c>
      <c r="L175" s="484">
        <f ca="1">NET</f>
        <v>22440</v>
      </c>
      <c r="M175" s="222" t="str">
        <f ca="1">DL</f>
        <v>LAUT</v>
      </c>
      <c r="Q175" s="346"/>
    </row>
    <row r="176" spans="2:17" ht="15">
      <c r="B176" s="477" t="str">
        <f ca="1">SUPPAJA</f>
        <v>MARTONO</v>
      </c>
      <c r="C176" s="338">
        <f ca="1">IF(COUNTIFS($B$3:B176,DATAKBA[[#This Row],[NAMA SUPP]],$E$3:E176,DATAKBA[[#This Row],[TANGGAL]])&lt;&gt;1,0,1)</f>
        <v>0</v>
      </c>
      <c r="D176" s="222">
        <f t="shared" si="15"/>
        <v>13</v>
      </c>
      <c r="E176" s="478">
        <v>43858</v>
      </c>
      <c r="F176" s="479" t="str">
        <f ca="1">DOC</f>
        <v/>
      </c>
      <c r="G176" s="480" t="s">
        <v>279</v>
      </c>
      <c r="H176" s="481" t="s">
        <v>257</v>
      </c>
      <c r="I176" s="482">
        <v>3</v>
      </c>
      <c r="J176" s="483">
        <v>26450</v>
      </c>
      <c r="K176" s="483">
        <v>11650</v>
      </c>
      <c r="L176" s="484">
        <f ca="1">NET</f>
        <v>14800</v>
      </c>
      <c r="M176" s="222" t="str">
        <f ca="1">DL</f>
        <v>LAUT</v>
      </c>
      <c r="Q176" s="346"/>
    </row>
    <row r="177" spans="2:17" ht="15">
      <c r="B177" s="477" t="str">
        <f ca="1">SUPPAJA</f>
        <v>MASRI</v>
      </c>
      <c r="C177" s="338">
        <f ca="1">IF(COUNTIFS($B$3:B177,DATAKBA[[#This Row],[NAMA SUPP]],$E$3:E177,DATAKBA[[#This Row],[TANGGAL]])&lt;&gt;1,0,1)</f>
        <v>1</v>
      </c>
      <c r="D177" s="222">
        <f t="shared" si="15"/>
        <v>14</v>
      </c>
      <c r="E177" s="478">
        <v>43858</v>
      </c>
      <c r="F177" s="479" t="str">
        <f ca="1">DOC</f>
        <v>011</v>
      </c>
      <c r="G177" s="480" t="s">
        <v>364</v>
      </c>
      <c r="H177" s="481" t="s">
        <v>260</v>
      </c>
      <c r="I177" s="482">
        <v>10</v>
      </c>
      <c r="J177" s="483">
        <v>86880</v>
      </c>
      <c r="K177" s="483">
        <v>38820</v>
      </c>
      <c r="L177" s="484">
        <f ca="1">NET</f>
        <v>48060</v>
      </c>
      <c r="M177" s="222" t="str">
        <f ca="1">DL</f>
        <v>LAUT</v>
      </c>
      <c r="Q177" s="346"/>
    </row>
    <row r="178" spans="2:17" ht="15">
      <c r="B178" s="477" t="str">
        <f ca="1">SUPPAJA</f>
        <v>PT.SINAR KELAPA TEMBILAHAN</v>
      </c>
      <c r="C178" s="338">
        <f ca="1">IF(COUNTIFS($B$3:B178,DATAKBA[[#This Row],[NAMA SUPP]],$E$3:E178,DATAKBA[[#This Row],[TANGGAL]])&lt;&gt;1,0,1)</f>
        <v>1</v>
      </c>
      <c r="D178" s="222">
        <f t="shared" si="15"/>
        <v>15</v>
      </c>
      <c r="E178" s="478">
        <v>43858</v>
      </c>
      <c r="F178" s="479" t="str">
        <f ca="1">DOC</f>
        <v>003</v>
      </c>
      <c r="G178" s="480" t="s">
        <v>365</v>
      </c>
      <c r="H178" s="481" t="s">
        <v>262</v>
      </c>
      <c r="I178" s="482">
        <v>1</v>
      </c>
      <c r="J178" s="483">
        <v>4730</v>
      </c>
      <c r="K178" s="483">
        <v>3890</v>
      </c>
      <c r="L178" s="484">
        <f ca="1">NET</f>
        <v>840</v>
      </c>
      <c r="M178" s="222" t="str">
        <f ca="1">DL</f>
        <v>LAUT</v>
      </c>
      <c r="Q178" s="346"/>
    </row>
    <row r="179" spans="2:17" ht="15">
      <c r="B179" s="477" t="str">
        <f ca="1">SUPPAJA</f>
        <v>PT.SINAR KELAPA TEMBILAHAN</v>
      </c>
      <c r="C179" s="338">
        <f ca="1">IF(COUNTIFS($B$3:B179,DATAKBA[[#This Row],[NAMA SUPP]],$E$3:E179,DATAKBA[[#This Row],[TANGGAL]])&lt;&gt;1,0,1)</f>
        <v>0</v>
      </c>
      <c r="D179" s="222">
        <f t="shared" si="15"/>
        <v>16</v>
      </c>
      <c r="E179" s="478">
        <v>43858</v>
      </c>
      <c r="F179" s="479" t="str">
        <f ca="1">DOC</f>
        <v/>
      </c>
      <c r="G179" s="480" t="s">
        <v>366</v>
      </c>
      <c r="H179" s="481" t="s">
        <v>262</v>
      </c>
      <c r="I179" s="482">
        <v>1</v>
      </c>
      <c r="J179" s="483">
        <v>8600</v>
      </c>
      <c r="K179" s="483">
        <v>4010</v>
      </c>
      <c r="L179" s="484">
        <f ca="1">NET</f>
        <v>4590</v>
      </c>
      <c r="M179" s="222" t="str">
        <f ca="1">DL</f>
        <v>LAUT</v>
      </c>
      <c r="Q179" s="346"/>
    </row>
    <row r="180" spans="2:17" ht="15">
      <c r="B180" s="477" t="str">
        <f ca="1">SUPPAJA</f>
        <v>ROSDIANTO</v>
      </c>
      <c r="C180" s="338">
        <f ca="1">IF(COUNTIFS($B$3:B180,DATAKBA[[#This Row],[NAMA SUPP]],$E$3:E180,DATAKBA[[#This Row],[TANGGAL]])&lt;&gt;1,0,1)</f>
        <v>1</v>
      </c>
      <c r="D180" s="222">
        <f t="shared" si="15"/>
        <v>17</v>
      </c>
      <c r="E180" s="478">
        <v>43858</v>
      </c>
      <c r="F180" s="485" t="str">
        <f ca="1">DOC</f>
        <v>001</v>
      </c>
      <c r="G180" s="486" t="s">
        <v>367</v>
      </c>
      <c r="H180" s="487" t="s">
        <v>368</v>
      </c>
      <c r="I180" s="488">
        <v>4</v>
      </c>
      <c r="J180" s="483">
        <v>33410</v>
      </c>
      <c r="K180" s="483">
        <v>15540</v>
      </c>
      <c r="L180" s="484">
        <f ca="1">NET</f>
        <v>17870</v>
      </c>
      <c r="M180" s="222" t="str">
        <f ca="1">DL</f>
        <v>LAUT</v>
      </c>
      <c r="Q180" s="346"/>
    </row>
    <row r="181" spans="2:17" ht="15">
      <c r="B181" s="477" t="str">
        <f ca="1">SUPPAJA</f>
        <v>ZAINAL ABIDIN</v>
      </c>
      <c r="C181" s="338">
        <f ca="1">IF(COUNTIFS($B$3:B181,DATAKBA[[#This Row],[NAMA SUPP]],$E$3:E181,DATAKBA[[#This Row],[TANGGAL]])&lt;&gt;1,0,1)</f>
        <v>1</v>
      </c>
      <c r="D181" s="222">
        <f t="shared" si="15"/>
        <v>18</v>
      </c>
      <c r="E181" s="478">
        <v>43858</v>
      </c>
      <c r="F181" s="485" t="str">
        <f ca="1">DOC</f>
        <v>002</v>
      </c>
      <c r="G181" s="486" t="s">
        <v>369</v>
      </c>
      <c r="H181" s="487" t="s">
        <v>275</v>
      </c>
      <c r="I181" s="488">
        <v>2</v>
      </c>
      <c r="J181" s="483">
        <v>18190</v>
      </c>
      <c r="K181" s="483">
        <v>7760</v>
      </c>
      <c r="L181" s="484">
        <f ca="1">NET</f>
        <v>10430</v>
      </c>
      <c r="M181" s="222" t="str">
        <f ca="1">DL</f>
        <v>LAUT</v>
      </c>
      <c r="Q181" s="346"/>
    </row>
    <row r="182" spans="2:17" ht="15">
      <c r="B182" s="477" t="str">
        <f ca="1">SUPPAJA</f>
        <v>ERAWATI</v>
      </c>
      <c r="C182" s="338">
        <f ca="1">IF(COUNTIFS($B$3:B182,DATAKBA[[#This Row],[NAMA SUPP]],$E$3:E182,DATAKBA[[#This Row],[TANGGAL]])&lt;&gt;1,0,1)</f>
        <v>1</v>
      </c>
      <c r="D182" s="222">
        <f t="shared" ref="D182:D197" si="16">COUNTER_RUDI</f>
        <v>1</v>
      </c>
      <c r="E182" s="478">
        <v>43859</v>
      </c>
      <c r="F182" s="479" t="str">
        <f ca="1">DOC</f>
        <v>020</v>
      </c>
      <c r="G182" s="480" t="s">
        <v>220</v>
      </c>
      <c r="H182" s="481" t="s">
        <v>253</v>
      </c>
      <c r="I182" s="482">
        <v>5</v>
      </c>
      <c r="J182" s="483">
        <v>51450</v>
      </c>
      <c r="K182" s="483">
        <v>21120</v>
      </c>
      <c r="L182" s="484">
        <f ca="1">NET</f>
        <v>30330</v>
      </c>
      <c r="M182" s="222" t="str">
        <f ca="1">DL</f>
        <v>DARAT</v>
      </c>
      <c r="Q182" s="346"/>
    </row>
    <row r="183" spans="2:17" ht="15">
      <c r="B183" s="477" t="str">
        <f ca="1">SUPPAJA</f>
        <v>ERAWATI</v>
      </c>
      <c r="C183" s="338">
        <f ca="1">IF(COUNTIFS($B$3:B183,DATAKBA[[#This Row],[NAMA SUPP]],$E$3:E183,DATAKBA[[#This Row],[TANGGAL]])&lt;&gt;1,0,1)</f>
        <v>0</v>
      </c>
      <c r="D183" s="222">
        <f t="shared" si="16"/>
        <v>2</v>
      </c>
      <c r="E183" s="478">
        <v>43859</v>
      </c>
      <c r="F183" s="479" t="str">
        <f ca="1">DOC</f>
        <v/>
      </c>
      <c r="G183" s="480" t="s">
        <v>252</v>
      </c>
      <c r="H183" s="481" t="s">
        <v>253</v>
      </c>
      <c r="I183" s="482">
        <v>1</v>
      </c>
      <c r="J183" s="483">
        <v>8750</v>
      </c>
      <c r="K183" s="483">
        <v>3920</v>
      </c>
      <c r="L183" s="484">
        <f ca="1">NET</f>
        <v>4830</v>
      </c>
      <c r="M183" s="222" t="str">
        <f ca="1">DL</f>
        <v>LAUT</v>
      </c>
      <c r="Q183" s="346"/>
    </row>
    <row r="184" spans="2:17" ht="15">
      <c r="B184" s="477" t="str">
        <f ca="1">SUPPAJA</f>
        <v>ERAWATI</v>
      </c>
      <c r="C184" s="338">
        <f ca="1">IF(COUNTIFS($B$3:B184,DATAKBA[[#This Row],[NAMA SUPP]],$E$3:E184,DATAKBA[[#This Row],[TANGGAL]])&lt;&gt;1,0,1)</f>
        <v>0</v>
      </c>
      <c r="D184" s="222">
        <f t="shared" si="16"/>
        <v>3</v>
      </c>
      <c r="E184" s="478">
        <v>43859</v>
      </c>
      <c r="F184" s="479" t="str">
        <f ca="1">DOC</f>
        <v/>
      </c>
      <c r="G184" s="480" t="s">
        <v>325</v>
      </c>
      <c r="H184" s="481" t="s">
        <v>253</v>
      </c>
      <c r="I184" s="482">
        <v>1</v>
      </c>
      <c r="J184" s="483">
        <v>8880</v>
      </c>
      <c r="K184" s="483">
        <v>3900</v>
      </c>
      <c r="L184" s="484">
        <f ca="1">NET</f>
        <v>4980</v>
      </c>
      <c r="M184" s="222" t="str">
        <f ca="1">DL</f>
        <v>LAUT</v>
      </c>
      <c r="Q184" s="346"/>
    </row>
    <row r="185" spans="2:17" ht="15">
      <c r="B185" s="477" t="str">
        <f ca="1">SUPPAJA</f>
        <v>INDRAYANI</v>
      </c>
      <c r="C185" s="338">
        <f ca="1">IF(COUNTIFS($B$3:B185,DATAKBA[[#This Row],[NAMA SUPP]],$E$3:E185,DATAKBA[[#This Row],[TANGGAL]])&lt;&gt;1,0,1)</f>
        <v>1</v>
      </c>
      <c r="D185" s="222">
        <f t="shared" si="16"/>
        <v>4</v>
      </c>
      <c r="E185" s="478">
        <v>43859</v>
      </c>
      <c r="F185" s="479" t="str">
        <f ca="1">DOC</f>
        <v>018</v>
      </c>
      <c r="G185" s="480" t="s">
        <v>99</v>
      </c>
      <c r="H185" s="481" t="s">
        <v>253</v>
      </c>
      <c r="I185" s="482">
        <v>3</v>
      </c>
      <c r="J185" s="483">
        <v>25920</v>
      </c>
      <c r="K185" s="483">
        <v>12050</v>
      </c>
      <c r="L185" s="484">
        <f ca="1">NET</f>
        <v>13870</v>
      </c>
      <c r="M185" s="222" t="str">
        <f ca="1">DL</f>
        <v>DARAT</v>
      </c>
      <c r="Q185" s="346"/>
    </row>
    <row r="186" spans="2:17" ht="15">
      <c r="B186" s="477" t="str">
        <f ca="1">SUPPAJA</f>
        <v>RUSLAN JAYA, SH</v>
      </c>
      <c r="C186" s="338">
        <f ca="1">IF(COUNTIFS($B$3:B186,DATAKBA[[#This Row],[NAMA SUPP]],$E$3:E186,DATAKBA[[#This Row],[TANGGAL]])&lt;&gt;1,0,1)</f>
        <v>1</v>
      </c>
      <c r="D186" s="222">
        <f t="shared" si="16"/>
        <v>5</v>
      </c>
      <c r="E186" s="478">
        <v>43859</v>
      </c>
      <c r="F186" s="485" t="str">
        <f ca="1">DOC</f>
        <v>007</v>
      </c>
      <c r="G186" s="486" t="s">
        <v>230</v>
      </c>
      <c r="H186" s="487" t="s">
        <v>255</v>
      </c>
      <c r="I186" s="488">
        <v>4</v>
      </c>
      <c r="J186" s="483">
        <v>34200</v>
      </c>
      <c r="K186" s="483">
        <v>14290</v>
      </c>
      <c r="L186" s="484">
        <f ca="1">NET</f>
        <v>19910</v>
      </c>
      <c r="M186" s="222" t="str">
        <f ca="1">DL</f>
        <v>DARAT</v>
      </c>
      <c r="Q186" s="346"/>
    </row>
    <row r="187" spans="2:17" ht="15">
      <c r="B187" s="477" t="str">
        <f ca="1">SUPPAJA</f>
        <v>SAIRI</v>
      </c>
      <c r="C187" s="338">
        <f ca="1">IF(COUNTIFS($B$3:B187,DATAKBA[[#This Row],[NAMA SUPP]],$E$3:E187,DATAKBA[[#This Row],[TANGGAL]])&lt;&gt;1,0,1)</f>
        <v>1</v>
      </c>
      <c r="D187" s="222">
        <f t="shared" si="16"/>
        <v>6</v>
      </c>
      <c r="E187" s="478">
        <v>43859</v>
      </c>
      <c r="F187" s="479" t="str">
        <f ca="1">DOC</f>
        <v>014</v>
      </c>
      <c r="G187" s="480" t="s">
        <v>78</v>
      </c>
      <c r="H187" s="481" t="s">
        <v>267</v>
      </c>
      <c r="I187" s="482">
        <v>2</v>
      </c>
      <c r="J187" s="483">
        <v>8760</v>
      </c>
      <c r="K187" s="483">
        <v>4290</v>
      </c>
      <c r="L187" s="484">
        <f ca="1">NET</f>
        <v>4470</v>
      </c>
      <c r="M187" s="222" t="str">
        <f ca="1">DL</f>
        <v>DARAT</v>
      </c>
      <c r="Q187" s="346"/>
    </row>
    <row r="188" spans="2:17" ht="15">
      <c r="B188" s="477" t="str">
        <f ca="1">SUPPAJA</f>
        <v>YANADI</v>
      </c>
      <c r="C188" s="338">
        <f ca="1">IF(COUNTIFS($B$3:B188,DATAKBA[[#This Row],[NAMA SUPP]],$E$3:E188,DATAKBA[[#This Row],[TANGGAL]])&lt;&gt;1,0,1)</f>
        <v>1</v>
      </c>
      <c r="D188" s="222">
        <f t="shared" si="16"/>
        <v>7</v>
      </c>
      <c r="E188" s="478">
        <v>43859</v>
      </c>
      <c r="F188" s="479" t="str">
        <f ca="1">DOC</f>
        <v>010</v>
      </c>
      <c r="G188" s="480" t="s">
        <v>137</v>
      </c>
      <c r="H188" s="481" t="s">
        <v>265</v>
      </c>
      <c r="I188" s="482">
        <v>3</v>
      </c>
      <c r="J188" s="483">
        <v>29520</v>
      </c>
      <c r="K188" s="483">
        <v>10050</v>
      </c>
      <c r="L188" s="484">
        <f ca="1">NET</f>
        <v>19470</v>
      </c>
      <c r="M188" s="222" t="str">
        <f ca="1">DL</f>
        <v>DARAT</v>
      </c>
      <c r="Q188" s="346"/>
    </row>
    <row r="189" spans="2:17" ht="15">
      <c r="B189" s="477" t="str">
        <f ca="1">SUPPAJA</f>
        <v>AMIR</v>
      </c>
      <c r="C189" s="338">
        <f ca="1">IF(COUNTIFS($B$3:B189,DATAKBA[[#This Row],[NAMA SUPP]],$E$3:E189,DATAKBA[[#This Row],[TANGGAL]])&lt;&gt;1,0,1)</f>
        <v>1</v>
      </c>
      <c r="D189" s="222">
        <f t="shared" si="16"/>
        <v>8</v>
      </c>
      <c r="E189" s="478">
        <v>43859</v>
      </c>
      <c r="F189" s="479" t="str">
        <f ca="1">DOC</f>
        <v>002</v>
      </c>
      <c r="G189" s="480" t="s">
        <v>339</v>
      </c>
      <c r="H189" s="481" t="s">
        <v>340</v>
      </c>
      <c r="I189" s="482">
        <v>2</v>
      </c>
      <c r="J189" s="483">
        <v>17730</v>
      </c>
      <c r="K189" s="483">
        <v>7790</v>
      </c>
      <c r="L189" s="484">
        <f ca="1">NET</f>
        <v>9940</v>
      </c>
      <c r="M189" s="222" t="str">
        <f ca="1">DL</f>
        <v>LAUT</v>
      </c>
      <c r="Q189" s="346"/>
    </row>
    <row r="190" spans="2:17" ht="15">
      <c r="B190" s="477" t="str">
        <f ca="1">SUPPAJA</f>
        <v>AMIR</v>
      </c>
      <c r="C190" s="338">
        <f ca="1">IF(COUNTIFS($B$3:B190,DATAKBA[[#This Row],[NAMA SUPP]],$E$3:E190,DATAKBA[[#This Row],[TANGGAL]])&lt;&gt;1,0,1)</f>
        <v>0</v>
      </c>
      <c r="D190" s="222">
        <f t="shared" si="16"/>
        <v>9</v>
      </c>
      <c r="E190" s="478">
        <v>43859</v>
      </c>
      <c r="F190" s="479" t="str">
        <f ca="1">DOC</f>
        <v/>
      </c>
      <c r="G190" s="480" t="s">
        <v>370</v>
      </c>
      <c r="H190" s="481" t="s">
        <v>340</v>
      </c>
      <c r="I190" s="482">
        <v>2</v>
      </c>
      <c r="J190" s="483">
        <v>16440</v>
      </c>
      <c r="K190" s="483">
        <v>7820</v>
      </c>
      <c r="L190" s="484">
        <f ca="1">NET</f>
        <v>8620</v>
      </c>
      <c r="M190" s="222" t="str">
        <f ca="1">DL</f>
        <v>LAUT</v>
      </c>
      <c r="Q190" s="346"/>
    </row>
    <row r="191" spans="2:17" ht="15">
      <c r="B191" s="477" t="str">
        <f ca="1">SUPPAJA</f>
        <v>DINI CHAIRANI</v>
      </c>
      <c r="C191" s="338">
        <f ca="1">IF(COUNTIFS($B$3:B191,DATAKBA[[#This Row],[NAMA SUPP]],$E$3:E191,DATAKBA[[#This Row],[TANGGAL]])&lt;&gt;1,0,1)</f>
        <v>1</v>
      </c>
      <c r="D191" s="222">
        <f t="shared" si="16"/>
        <v>10</v>
      </c>
      <c r="E191" s="478">
        <v>43859</v>
      </c>
      <c r="F191" s="485" t="str">
        <f ca="1">DOC</f>
        <v>014</v>
      </c>
      <c r="G191" s="486" t="s">
        <v>371</v>
      </c>
      <c r="H191" s="487" t="s">
        <v>268</v>
      </c>
      <c r="I191" s="488">
        <v>2</v>
      </c>
      <c r="J191" s="483">
        <v>14690</v>
      </c>
      <c r="K191" s="483">
        <v>7760</v>
      </c>
      <c r="L191" s="484">
        <f ca="1">NET</f>
        <v>6930</v>
      </c>
      <c r="M191" s="222" t="str">
        <f ca="1">DL</f>
        <v>LAUT</v>
      </c>
      <c r="Q191" s="346"/>
    </row>
    <row r="192" spans="2:17" ht="15">
      <c r="B192" s="477" t="str">
        <f ca="1">SUPPAJA</f>
        <v>HENDRI</v>
      </c>
      <c r="C192" s="338">
        <f ca="1">IF(COUNTIFS($B$3:B192,DATAKBA[[#This Row],[NAMA SUPP]],$E$3:E192,DATAKBA[[#This Row],[TANGGAL]])&lt;&gt;1,0,1)</f>
        <v>1</v>
      </c>
      <c r="D192" s="222">
        <f t="shared" si="16"/>
        <v>11</v>
      </c>
      <c r="E192" s="478">
        <v>43859</v>
      </c>
      <c r="F192" s="479" t="str">
        <f ca="1">DOC</f>
        <v>012</v>
      </c>
      <c r="G192" s="480" t="s">
        <v>342</v>
      </c>
      <c r="H192" s="481" t="s">
        <v>255</v>
      </c>
      <c r="I192" s="482">
        <v>5</v>
      </c>
      <c r="J192" s="483">
        <v>40830</v>
      </c>
      <c r="K192" s="483">
        <v>19390</v>
      </c>
      <c r="L192" s="484">
        <f ca="1">NET</f>
        <v>21440</v>
      </c>
      <c r="M192" s="222" t="str">
        <f ca="1">DL</f>
        <v>LAUT</v>
      </c>
      <c r="Q192" s="346"/>
    </row>
    <row r="193" spans="2:17" ht="15">
      <c r="B193" s="477" t="str">
        <f ca="1">SUPPAJA</f>
        <v>MARTONO</v>
      </c>
      <c r="C193" s="338">
        <f ca="1">IF(COUNTIFS($B$3:B193,DATAKBA[[#This Row],[NAMA SUPP]],$E$3:E193,DATAKBA[[#This Row],[TANGGAL]])&lt;&gt;1,0,1)</f>
        <v>1</v>
      </c>
      <c r="D193" s="222">
        <f t="shared" si="16"/>
        <v>12</v>
      </c>
      <c r="E193" s="478">
        <v>43859</v>
      </c>
      <c r="F193" s="479" t="str">
        <f ca="1">DOC</f>
        <v>016</v>
      </c>
      <c r="G193" s="480" t="s">
        <v>273</v>
      </c>
      <c r="H193" s="481" t="s">
        <v>257</v>
      </c>
      <c r="I193" s="482">
        <v>3</v>
      </c>
      <c r="J193" s="483">
        <v>22240</v>
      </c>
      <c r="K193" s="483">
        <v>11730</v>
      </c>
      <c r="L193" s="484">
        <f ca="1">NET</f>
        <v>10510</v>
      </c>
      <c r="M193" s="222" t="str">
        <f ca="1">DL</f>
        <v>LAUT</v>
      </c>
      <c r="Q193" s="346"/>
    </row>
    <row r="194" spans="2:17" ht="15">
      <c r="B194" s="477" t="str">
        <f ca="1">SUPPAJA</f>
        <v>MASRI</v>
      </c>
      <c r="C194" s="338">
        <f ca="1">IF(COUNTIFS($B$3:B194,DATAKBA[[#This Row],[NAMA SUPP]],$E$3:E194,DATAKBA[[#This Row],[TANGGAL]])&lt;&gt;1,0,1)</f>
        <v>1</v>
      </c>
      <c r="D194" s="222">
        <f t="shared" si="16"/>
        <v>13</v>
      </c>
      <c r="E194" s="478">
        <v>43859</v>
      </c>
      <c r="F194" s="479" t="str">
        <f ca="1">DOC</f>
        <v>012</v>
      </c>
      <c r="G194" s="480" t="s">
        <v>364</v>
      </c>
      <c r="H194" s="481" t="s">
        <v>260</v>
      </c>
      <c r="I194" s="482">
        <v>13</v>
      </c>
      <c r="J194" s="483">
        <v>112020</v>
      </c>
      <c r="K194" s="483">
        <v>50490</v>
      </c>
      <c r="L194" s="484">
        <f ca="1">NET</f>
        <v>61530</v>
      </c>
      <c r="M194" s="222" t="str">
        <f ca="1">DL</f>
        <v>LAUT</v>
      </c>
      <c r="Q194" s="346"/>
    </row>
    <row r="195" spans="2:17" ht="15">
      <c r="B195" s="477" t="str">
        <f ca="1">SUPPAJA</f>
        <v>PT.SINAR KELAPA TEMBILAHAN</v>
      </c>
      <c r="C195" s="338">
        <f ca="1">IF(COUNTIFS($B$3:B195,DATAKBA[[#This Row],[NAMA SUPP]],$E$3:E195,DATAKBA[[#This Row],[TANGGAL]])&lt;&gt;1,0,1)</f>
        <v>1</v>
      </c>
      <c r="D195" s="222">
        <f t="shared" si="16"/>
        <v>14</v>
      </c>
      <c r="E195" s="478">
        <v>43859</v>
      </c>
      <c r="F195" s="479" t="str">
        <f ca="1">DOC</f>
        <v>004</v>
      </c>
      <c r="G195" s="480" t="s">
        <v>372</v>
      </c>
      <c r="H195" s="481" t="s">
        <v>262</v>
      </c>
      <c r="I195" s="482">
        <v>5</v>
      </c>
      <c r="J195" s="483">
        <v>41620</v>
      </c>
      <c r="K195" s="483">
        <v>19490</v>
      </c>
      <c r="L195" s="484">
        <f ca="1">NET</f>
        <v>22130</v>
      </c>
      <c r="M195" s="222" t="str">
        <f ca="1">DL</f>
        <v>LAUT</v>
      </c>
      <c r="Q195" s="346"/>
    </row>
    <row r="196" spans="2:17" ht="15">
      <c r="B196" s="477" t="str">
        <f ca="1">SUPPAJA</f>
        <v>PT.SINAR KELAPA TEMBILAHAN</v>
      </c>
      <c r="C196" s="338">
        <f ca="1">IF(COUNTIFS($B$3:B196,DATAKBA[[#This Row],[NAMA SUPP]],$E$3:E196,DATAKBA[[#This Row],[TANGGAL]])&lt;&gt;1,0,1)</f>
        <v>0</v>
      </c>
      <c r="D196" s="222">
        <f t="shared" si="16"/>
        <v>15</v>
      </c>
      <c r="E196" s="478">
        <v>43859</v>
      </c>
      <c r="F196" s="479" t="str">
        <f ca="1">DOC</f>
        <v/>
      </c>
      <c r="G196" s="480" t="s">
        <v>366</v>
      </c>
      <c r="H196" s="481" t="s">
        <v>262</v>
      </c>
      <c r="I196" s="482">
        <v>8</v>
      </c>
      <c r="J196" s="483">
        <v>67570</v>
      </c>
      <c r="K196" s="483">
        <v>31020</v>
      </c>
      <c r="L196" s="484">
        <f ca="1">NET</f>
        <v>36550</v>
      </c>
      <c r="M196" s="222" t="str">
        <f ca="1">DL</f>
        <v>LAUT</v>
      </c>
      <c r="Q196" s="346"/>
    </row>
    <row r="197" spans="2:17" ht="15">
      <c r="B197" s="477" t="str">
        <f ca="1">SUPPAJA</f>
        <v>PT.SINAR KELAPA TEMBILAHAN</v>
      </c>
      <c r="C197" s="338">
        <f ca="1">IF(COUNTIFS($B$3:B197,DATAKBA[[#This Row],[NAMA SUPP]],$E$3:E197,DATAKBA[[#This Row],[TANGGAL]])&lt;&gt;1,0,1)</f>
        <v>0</v>
      </c>
      <c r="D197" s="222">
        <f t="shared" si="16"/>
        <v>16</v>
      </c>
      <c r="E197" s="478">
        <v>43859</v>
      </c>
      <c r="F197" s="485" t="str">
        <f ca="1">DOC</f>
        <v/>
      </c>
      <c r="G197" s="486" t="s">
        <v>373</v>
      </c>
      <c r="H197" s="487" t="s">
        <v>262</v>
      </c>
      <c r="I197" s="488">
        <v>1</v>
      </c>
      <c r="J197" s="483">
        <v>8650</v>
      </c>
      <c r="K197" s="483">
        <v>3950</v>
      </c>
      <c r="L197" s="484">
        <f ca="1">NET</f>
        <v>4700</v>
      </c>
      <c r="M197" s="222" t="str">
        <f ca="1">DL</f>
        <v>LAUT</v>
      </c>
      <c r="Q197" s="346"/>
    </row>
    <row r="198" spans="2:17" ht="15">
      <c r="B198" s="477" t="str">
        <f ca="1">SUPPAJA</f>
        <v>ERAWATI</v>
      </c>
      <c r="C198" s="338">
        <f ca="1">IF(COUNTIFS($B$3:B198,DATAKBA[[#This Row],[NAMA SUPP]],$E$3:E198,DATAKBA[[#This Row],[TANGGAL]])&lt;&gt;1,0,1)</f>
        <v>1</v>
      </c>
      <c r="D198" s="222">
        <f t="shared" ref="D198:D225" si="17">COUNTER_RUDI</f>
        <v>1</v>
      </c>
      <c r="E198" s="478">
        <v>43860</v>
      </c>
      <c r="F198" s="479" t="str">
        <f ca="1">DOC</f>
        <v>021</v>
      </c>
      <c r="G198" s="480" t="s">
        <v>220</v>
      </c>
      <c r="H198" s="481" t="s">
        <v>253</v>
      </c>
      <c r="I198" s="482">
        <v>5</v>
      </c>
      <c r="J198" s="483">
        <v>38030</v>
      </c>
      <c r="K198" s="483">
        <v>16220</v>
      </c>
      <c r="L198" s="484">
        <f ca="1">NET</f>
        <v>21810</v>
      </c>
      <c r="M198" s="222" t="str">
        <f ca="1">DL</f>
        <v>DARAT</v>
      </c>
      <c r="Q198" s="346"/>
    </row>
    <row r="199" spans="2:17" ht="15">
      <c r="B199" s="477" t="str">
        <f ca="1">SUPPAJA</f>
        <v>INDRAYANI</v>
      </c>
      <c r="C199" s="338">
        <f ca="1">IF(COUNTIFS($B$3:B199,DATAKBA[[#This Row],[NAMA SUPP]],$E$3:E199,DATAKBA[[#This Row],[TANGGAL]])&lt;&gt;1,0,1)</f>
        <v>1</v>
      </c>
      <c r="D199" s="222">
        <f t="shared" si="17"/>
        <v>2</v>
      </c>
      <c r="E199" s="478">
        <v>43860</v>
      </c>
      <c r="F199" s="479" t="str">
        <f ca="1">DOC</f>
        <v>019</v>
      </c>
      <c r="G199" s="480" t="s">
        <v>99</v>
      </c>
      <c r="H199" s="481" t="s">
        <v>253</v>
      </c>
      <c r="I199" s="482">
        <v>3</v>
      </c>
      <c r="J199" s="483">
        <v>30890</v>
      </c>
      <c r="K199" s="483">
        <v>14250</v>
      </c>
      <c r="L199" s="484">
        <f ca="1">NET</f>
        <v>16640</v>
      </c>
      <c r="M199" s="222" t="str">
        <f ca="1">DL</f>
        <v>DARAT</v>
      </c>
      <c r="Q199" s="346"/>
    </row>
    <row r="200" spans="2:17" ht="15">
      <c r="B200" s="477" t="str">
        <f ca="1">SUPPAJA</f>
        <v>RUSLAN JAYA, SH</v>
      </c>
      <c r="C200" s="338">
        <f ca="1">IF(COUNTIFS($B$3:B200,DATAKBA[[#This Row],[NAMA SUPP]],$E$3:E200,DATAKBA[[#This Row],[TANGGAL]])&lt;&gt;1,0,1)</f>
        <v>1</v>
      </c>
      <c r="D200" s="222">
        <f t="shared" si="17"/>
        <v>3</v>
      </c>
      <c r="E200" s="478">
        <v>43860</v>
      </c>
      <c r="F200" s="479" t="str">
        <f ca="1">DOC</f>
        <v>008</v>
      </c>
      <c r="G200" s="480" t="s">
        <v>230</v>
      </c>
      <c r="H200" s="481" t="s">
        <v>255</v>
      </c>
      <c r="I200" s="482">
        <v>2</v>
      </c>
      <c r="J200" s="483">
        <v>23590</v>
      </c>
      <c r="K200" s="483">
        <v>8720</v>
      </c>
      <c r="L200" s="484">
        <f ca="1">NET</f>
        <v>14870</v>
      </c>
      <c r="M200" s="222" t="str">
        <f ca="1">DL</f>
        <v>DARAT</v>
      </c>
      <c r="Q200" s="346"/>
    </row>
    <row r="201" spans="2:17" ht="15">
      <c r="B201" s="477" t="str">
        <f ca="1">SUPPAJA</f>
        <v>SAIRI</v>
      </c>
      <c r="C201" s="338">
        <f ca="1">IF(COUNTIFS($B$3:B201,DATAKBA[[#This Row],[NAMA SUPP]],$E$3:E201,DATAKBA[[#This Row],[TANGGAL]])&lt;&gt;1,0,1)</f>
        <v>1</v>
      </c>
      <c r="D201" s="222">
        <f t="shared" si="17"/>
        <v>4</v>
      </c>
      <c r="E201" s="478">
        <v>43860</v>
      </c>
      <c r="F201" s="479" t="str">
        <f ca="1">DOC</f>
        <v>015</v>
      </c>
      <c r="G201" s="480" t="s">
        <v>78</v>
      </c>
      <c r="H201" s="481" t="s">
        <v>267</v>
      </c>
      <c r="I201" s="482">
        <v>4</v>
      </c>
      <c r="J201" s="483">
        <v>22920</v>
      </c>
      <c r="K201" s="483">
        <v>10550</v>
      </c>
      <c r="L201" s="484">
        <f ca="1">NET</f>
        <v>12370</v>
      </c>
      <c r="M201" s="222" t="str">
        <f ca="1">DL</f>
        <v>DARAT</v>
      </c>
      <c r="Q201" s="346"/>
    </row>
    <row r="202" spans="2:17" ht="15">
      <c r="B202" s="477" t="str">
        <f ca="1">SUPPAJA</f>
        <v>YANADI</v>
      </c>
      <c r="C202" s="338">
        <f ca="1">IF(COUNTIFS($B$3:B202,DATAKBA[[#This Row],[NAMA SUPP]],$E$3:E202,DATAKBA[[#This Row],[TANGGAL]])&lt;&gt;1,0,1)</f>
        <v>1</v>
      </c>
      <c r="D202" s="222">
        <f t="shared" si="17"/>
        <v>5</v>
      </c>
      <c r="E202" s="478">
        <v>43860</v>
      </c>
      <c r="F202" s="485" t="str">
        <f ca="1">DOC</f>
        <v>011</v>
      </c>
      <c r="G202" s="486" t="s">
        <v>137</v>
      </c>
      <c r="H202" s="487" t="s">
        <v>265</v>
      </c>
      <c r="I202" s="488">
        <v>1</v>
      </c>
      <c r="J202" s="483">
        <v>8980</v>
      </c>
      <c r="K202" s="483">
        <v>3770</v>
      </c>
      <c r="L202" s="484">
        <f ca="1">NET</f>
        <v>5210</v>
      </c>
      <c r="M202" s="222" t="str">
        <f ca="1">DL</f>
        <v>DARAT</v>
      </c>
      <c r="Q202" s="346"/>
    </row>
    <row r="203" spans="2:17" ht="15">
      <c r="B203" s="477" t="str">
        <f ca="1">SUPPAJA</f>
        <v>YANADI</v>
      </c>
      <c r="C203" s="338">
        <f ca="1">IF(COUNTIFS($B$3:B203,DATAKBA[[#This Row],[NAMA SUPP]],$E$3:E203,DATAKBA[[#This Row],[TANGGAL]])&lt;&gt;1,0,1)</f>
        <v>0</v>
      </c>
      <c r="D203" s="222">
        <f t="shared" si="17"/>
        <v>6</v>
      </c>
      <c r="E203" s="478">
        <v>43860</v>
      </c>
      <c r="F203" s="485" t="str">
        <f ca="1">DOC</f>
        <v/>
      </c>
      <c r="G203" s="486" t="s">
        <v>374</v>
      </c>
      <c r="H203" s="487" t="s">
        <v>265</v>
      </c>
      <c r="I203" s="488">
        <v>3</v>
      </c>
      <c r="J203" s="483">
        <v>26140</v>
      </c>
      <c r="K203" s="483">
        <v>11660</v>
      </c>
      <c r="L203" s="484">
        <f ca="1">NET</f>
        <v>14480</v>
      </c>
      <c r="M203" s="222" t="str">
        <f ca="1">DL</f>
        <v>LAUT</v>
      </c>
      <c r="Q203" s="346"/>
    </row>
    <row r="204" spans="2:17" ht="15">
      <c r="B204" s="477" t="str">
        <f ca="1">SUPPAJA</f>
        <v>AMIR</v>
      </c>
      <c r="C204" s="338">
        <f ca="1">IF(COUNTIFS($B$3:B204,DATAKBA[[#This Row],[NAMA SUPP]],$E$3:E204,DATAKBA[[#This Row],[TANGGAL]])&lt;&gt;1,0,1)</f>
        <v>1</v>
      </c>
      <c r="D204" s="222">
        <f t="shared" si="17"/>
        <v>7</v>
      </c>
      <c r="E204" s="478">
        <v>43860</v>
      </c>
      <c r="F204" s="479" t="str">
        <f ca="1">DOC</f>
        <v>003</v>
      </c>
      <c r="G204" s="480" t="s">
        <v>339</v>
      </c>
      <c r="H204" s="481" t="s">
        <v>340</v>
      </c>
      <c r="I204" s="482">
        <v>3</v>
      </c>
      <c r="J204" s="483">
        <v>25400</v>
      </c>
      <c r="K204" s="483">
        <v>11650</v>
      </c>
      <c r="L204" s="484">
        <f ca="1">NET</f>
        <v>13750</v>
      </c>
      <c r="M204" s="222" t="str">
        <f ca="1">DL</f>
        <v>LAUT</v>
      </c>
      <c r="Q204" s="346"/>
    </row>
    <row r="205" spans="2:17" ht="15">
      <c r="B205" s="477" t="str">
        <f ca="1">SUPPAJA</f>
        <v>DINI CHAIRANI</v>
      </c>
      <c r="C205" s="338">
        <f ca="1">IF(COUNTIFS($B$3:B205,DATAKBA[[#This Row],[NAMA SUPP]],$E$3:E205,DATAKBA[[#This Row],[TANGGAL]])&lt;&gt;1,0,1)</f>
        <v>1</v>
      </c>
      <c r="D205" s="222">
        <f t="shared" si="17"/>
        <v>8</v>
      </c>
      <c r="E205" s="478">
        <v>43860</v>
      </c>
      <c r="F205" s="479" t="str">
        <f ca="1">DOC</f>
        <v>015</v>
      </c>
      <c r="G205" s="480" t="s">
        <v>228</v>
      </c>
      <c r="H205" s="481" t="s">
        <v>268</v>
      </c>
      <c r="I205" s="482">
        <v>2</v>
      </c>
      <c r="J205" s="483">
        <v>14370</v>
      </c>
      <c r="K205" s="483">
        <v>7770</v>
      </c>
      <c r="L205" s="484">
        <f ca="1">NET</f>
        <v>6600</v>
      </c>
      <c r="M205" s="222" t="str">
        <f ca="1">DL</f>
        <v>LAUT</v>
      </c>
      <c r="Q205" s="346"/>
    </row>
    <row r="206" spans="2:17" ht="15">
      <c r="B206" s="477" t="str">
        <f ca="1">SUPPAJA</f>
        <v>DINI CHAIRANI</v>
      </c>
      <c r="C206" s="338">
        <f ca="1">IF(COUNTIFS($B$3:B206,DATAKBA[[#This Row],[NAMA SUPP]],$E$3:E206,DATAKBA[[#This Row],[TANGGAL]])&lt;&gt;1,0,1)</f>
        <v>0</v>
      </c>
      <c r="D206" s="222">
        <f t="shared" si="17"/>
        <v>9</v>
      </c>
      <c r="E206" s="478">
        <v>43860</v>
      </c>
      <c r="F206" s="479" t="str">
        <f ca="1">DOC</f>
        <v/>
      </c>
      <c r="G206" s="480" t="s">
        <v>375</v>
      </c>
      <c r="H206" s="481" t="s">
        <v>268</v>
      </c>
      <c r="I206" s="482">
        <v>2</v>
      </c>
      <c r="J206" s="483">
        <v>16500</v>
      </c>
      <c r="K206" s="483">
        <v>7760</v>
      </c>
      <c r="L206" s="484">
        <f ca="1">NET</f>
        <v>8740</v>
      </c>
      <c r="M206" s="222" t="str">
        <f ca="1">DL</f>
        <v>LAUT</v>
      </c>
      <c r="Q206" s="346"/>
    </row>
    <row r="207" spans="2:17" ht="15">
      <c r="B207" s="477" t="str">
        <f ca="1">SUPPAJA</f>
        <v>DINI CHAIRANI</v>
      </c>
      <c r="C207" s="338">
        <f ca="1">IF(COUNTIFS($B$3:B207,DATAKBA[[#This Row],[NAMA SUPP]],$E$3:E207,DATAKBA[[#This Row],[TANGGAL]])&lt;&gt;1,0,1)</f>
        <v>0</v>
      </c>
      <c r="D207" s="222">
        <f t="shared" si="17"/>
        <v>10</v>
      </c>
      <c r="E207" s="478">
        <v>43860</v>
      </c>
      <c r="F207" s="479" t="str">
        <f ca="1">DOC</f>
        <v/>
      </c>
      <c r="G207" s="480" t="s">
        <v>376</v>
      </c>
      <c r="H207" s="481" t="s">
        <v>268</v>
      </c>
      <c r="I207" s="482">
        <v>1</v>
      </c>
      <c r="J207" s="483">
        <v>6930</v>
      </c>
      <c r="K207" s="483">
        <v>3910</v>
      </c>
      <c r="L207" s="484">
        <f ca="1">NET</f>
        <v>3020</v>
      </c>
      <c r="M207" s="222" t="str">
        <f ca="1">DL</f>
        <v>LAUT</v>
      </c>
      <c r="Q207" s="346"/>
    </row>
    <row r="208" spans="2:17" ht="15">
      <c r="B208" s="477" t="str">
        <f ca="1">SUPPAJA</f>
        <v>MARTONO</v>
      </c>
      <c r="C208" s="338">
        <f ca="1">IF(COUNTIFS($B$3:B208,DATAKBA[[#This Row],[NAMA SUPP]],$E$3:E208,DATAKBA[[#This Row],[TANGGAL]])&lt;&gt;1,0,1)</f>
        <v>1</v>
      </c>
      <c r="D208" s="222">
        <f t="shared" si="17"/>
        <v>11</v>
      </c>
      <c r="E208" s="478">
        <v>43860</v>
      </c>
      <c r="F208" s="479" t="str">
        <f ca="1">DOC</f>
        <v>017</v>
      </c>
      <c r="G208" s="480" t="s">
        <v>256</v>
      </c>
      <c r="H208" s="481" t="s">
        <v>257</v>
      </c>
      <c r="I208" s="482">
        <v>3</v>
      </c>
      <c r="J208" s="483">
        <v>21830</v>
      </c>
      <c r="K208" s="483">
        <v>11660</v>
      </c>
      <c r="L208" s="484">
        <f ca="1">NET</f>
        <v>10170</v>
      </c>
      <c r="M208" s="222" t="str">
        <f ca="1">DL</f>
        <v>LAUT</v>
      </c>
      <c r="Q208" s="346"/>
    </row>
    <row r="209" spans="2:17" ht="15">
      <c r="B209" s="477" t="str">
        <f ca="1">SUPPAJA</f>
        <v>MARTONO</v>
      </c>
      <c r="C209" s="338">
        <f ca="1">IF(COUNTIFS($B$3:B209,DATAKBA[[#This Row],[NAMA SUPP]],$E$3:E209,DATAKBA[[#This Row],[TANGGAL]])&lt;&gt;1,0,1)</f>
        <v>0</v>
      </c>
      <c r="D209" s="222">
        <f t="shared" si="17"/>
        <v>12</v>
      </c>
      <c r="E209" s="478">
        <v>43860</v>
      </c>
      <c r="F209" s="479" t="str">
        <f ca="1">DOC</f>
        <v/>
      </c>
      <c r="G209" s="480" t="s">
        <v>278</v>
      </c>
      <c r="H209" s="481" t="s">
        <v>257</v>
      </c>
      <c r="I209" s="482">
        <v>1</v>
      </c>
      <c r="J209" s="483">
        <v>7260</v>
      </c>
      <c r="K209" s="483">
        <v>3880</v>
      </c>
      <c r="L209" s="484">
        <f ca="1">NET</f>
        <v>3380</v>
      </c>
      <c r="M209" s="222" t="str">
        <f ca="1">DL</f>
        <v>LAUT</v>
      </c>
      <c r="Q209" s="346"/>
    </row>
    <row r="210" spans="2:17" ht="15">
      <c r="B210" s="477" t="str">
        <f ca="1">SUPPAJA</f>
        <v>MARTONO</v>
      </c>
      <c r="C210" s="338">
        <f ca="1">IF(COUNTIFS($B$3:B210,DATAKBA[[#This Row],[NAMA SUPP]],$E$3:E210,DATAKBA[[#This Row],[TANGGAL]])&lt;&gt;1,0,1)</f>
        <v>0</v>
      </c>
      <c r="D210" s="222">
        <f t="shared" si="17"/>
        <v>13</v>
      </c>
      <c r="E210" s="478">
        <v>43860</v>
      </c>
      <c r="F210" s="479" t="str">
        <f ca="1">DOC</f>
        <v/>
      </c>
      <c r="G210" s="480" t="s">
        <v>279</v>
      </c>
      <c r="H210" s="481" t="s">
        <v>257</v>
      </c>
      <c r="I210" s="482">
        <v>2</v>
      </c>
      <c r="J210" s="483">
        <v>16910</v>
      </c>
      <c r="K210" s="483">
        <v>7750</v>
      </c>
      <c r="L210" s="484">
        <f ca="1">NET</f>
        <v>9160</v>
      </c>
      <c r="M210" s="222" t="str">
        <f ca="1">DL</f>
        <v>LAUT</v>
      </c>
      <c r="Q210" s="346"/>
    </row>
    <row r="211" spans="2:17" ht="15">
      <c r="B211" s="477" t="str">
        <f ca="1">SUPPAJA</f>
        <v>MARTONO</v>
      </c>
      <c r="C211" s="338">
        <f ca="1">IF(COUNTIFS($B$3:B211,DATAKBA[[#This Row],[NAMA SUPP]],$E$3:E211,DATAKBA[[#This Row],[TANGGAL]])&lt;&gt;1,0,1)</f>
        <v>0</v>
      </c>
      <c r="D211" s="222">
        <f t="shared" si="17"/>
        <v>14</v>
      </c>
      <c r="E211" s="478">
        <v>43860</v>
      </c>
      <c r="F211" s="479" t="str">
        <f ca="1">DOC</f>
        <v/>
      </c>
      <c r="G211" s="480" t="s">
        <v>258</v>
      </c>
      <c r="H211" s="481" t="s">
        <v>257</v>
      </c>
      <c r="I211" s="482">
        <v>1</v>
      </c>
      <c r="J211" s="483">
        <v>6530</v>
      </c>
      <c r="K211" s="483">
        <v>3880</v>
      </c>
      <c r="L211" s="484">
        <f ca="1">NET</f>
        <v>2650</v>
      </c>
      <c r="M211" s="222" t="str">
        <f ca="1">DL</f>
        <v>LAUT</v>
      </c>
      <c r="Q211" s="346"/>
    </row>
    <row r="212" spans="2:17" ht="15">
      <c r="B212" s="477" t="str">
        <f ca="1">SUPPAJA</f>
        <v>MASRI</v>
      </c>
      <c r="C212" s="338">
        <f ca="1">IF(COUNTIFS($B$3:B212,DATAKBA[[#This Row],[NAMA SUPP]],$E$3:E212,DATAKBA[[#This Row],[TANGGAL]])&lt;&gt;1,0,1)</f>
        <v>1</v>
      </c>
      <c r="D212" s="222">
        <f t="shared" si="17"/>
        <v>15</v>
      </c>
      <c r="E212" s="478">
        <v>43860</v>
      </c>
      <c r="F212" s="479" t="str">
        <f ca="1">DOC</f>
        <v>013</v>
      </c>
      <c r="G212" s="480" t="s">
        <v>333</v>
      </c>
      <c r="H212" s="481" t="s">
        <v>260</v>
      </c>
      <c r="I212" s="482">
        <v>15</v>
      </c>
      <c r="J212" s="483">
        <v>129890</v>
      </c>
      <c r="K212" s="483">
        <v>58580</v>
      </c>
      <c r="L212" s="484">
        <f ca="1">NET</f>
        <v>71310</v>
      </c>
      <c r="M212" s="222" t="str">
        <f ca="1">DL</f>
        <v>LAUT</v>
      </c>
      <c r="Q212" s="346"/>
    </row>
    <row r="213" spans="2:17" ht="15">
      <c r="B213" s="477" t="str">
        <f ca="1">SUPPAJA</f>
        <v>PT.SINAR KELAPA TEMBILAHAN</v>
      </c>
      <c r="C213" s="338">
        <f ca="1">IF(COUNTIFS($B$3:B213,DATAKBA[[#This Row],[NAMA SUPP]],$E$3:E213,DATAKBA[[#This Row],[TANGGAL]])&lt;&gt;1,0,1)</f>
        <v>1</v>
      </c>
      <c r="D213" s="222">
        <f t="shared" si="17"/>
        <v>16</v>
      </c>
      <c r="E213" s="478">
        <v>43860</v>
      </c>
      <c r="F213" s="479" t="str">
        <f ca="1">DOC</f>
        <v>005</v>
      </c>
      <c r="G213" s="480" t="s">
        <v>372</v>
      </c>
      <c r="H213" s="481" t="s">
        <v>262</v>
      </c>
      <c r="I213" s="482">
        <v>5</v>
      </c>
      <c r="J213" s="483">
        <v>40560</v>
      </c>
      <c r="K213" s="483">
        <v>19510</v>
      </c>
      <c r="L213" s="484">
        <f ca="1">NET</f>
        <v>21050</v>
      </c>
      <c r="M213" s="222" t="str">
        <f ca="1">DL</f>
        <v>LAUT</v>
      </c>
      <c r="Q213" s="346"/>
    </row>
    <row r="214" spans="2:17" ht="15">
      <c r="B214" s="477" t="str">
        <f ca="1">SUPPAJA</f>
        <v>PT.SINAR KELAPA TEMBILAHAN</v>
      </c>
      <c r="C214" s="338">
        <f ca="1">IF(COUNTIFS($B$3:B214,DATAKBA[[#This Row],[NAMA SUPP]],$E$3:E214,DATAKBA[[#This Row],[TANGGAL]])&lt;&gt;1,0,1)</f>
        <v>0</v>
      </c>
      <c r="D214" s="222">
        <f t="shared" si="17"/>
        <v>17</v>
      </c>
      <c r="E214" s="478">
        <v>43860</v>
      </c>
      <c r="F214" s="479" t="str">
        <f ca="1">DOC</f>
        <v/>
      </c>
      <c r="G214" s="480" t="s">
        <v>377</v>
      </c>
      <c r="H214" s="481" t="s">
        <v>262</v>
      </c>
      <c r="I214" s="482">
        <v>2</v>
      </c>
      <c r="J214" s="483">
        <v>14980</v>
      </c>
      <c r="K214" s="483">
        <v>7780</v>
      </c>
      <c r="L214" s="484">
        <f ca="1">NET</f>
        <v>7200</v>
      </c>
      <c r="M214" s="222" t="str">
        <f ca="1">DL</f>
        <v>LAUT</v>
      </c>
      <c r="Q214" s="346"/>
    </row>
    <row r="215" spans="2:17" ht="15">
      <c r="B215" s="477" t="str">
        <f ca="1">SUPPAJA</f>
        <v>PT.SINAR KELAPA TEMBILAHAN</v>
      </c>
      <c r="C215" s="338">
        <f ca="1">IF(COUNTIFS($B$3:B215,DATAKBA[[#This Row],[NAMA SUPP]],$E$3:E215,DATAKBA[[#This Row],[TANGGAL]])&lt;&gt;1,0,1)</f>
        <v>0</v>
      </c>
      <c r="D215" s="222">
        <f t="shared" si="17"/>
        <v>18</v>
      </c>
      <c r="E215" s="478">
        <v>43860</v>
      </c>
      <c r="F215" s="479" t="str">
        <f ca="1">DOC</f>
        <v/>
      </c>
      <c r="G215" s="480" t="s">
        <v>378</v>
      </c>
      <c r="H215" s="481" t="s">
        <v>262</v>
      </c>
      <c r="I215" s="482">
        <v>4</v>
      </c>
      <c r="J215" s="483">
        <v>34630</v>
      </c>
      <c r="K215" s="483">
        <v>15570</v>
      </c>
      <c r="L215" s="484">
        <f ca="1">NET</f>
        <v>19060</v>
      </c>
      <c r="M215" s="222" t="str">
        <f ca="1">DL</f>
        <v>LAUT</v>
      </c>
      <c r="Q215" s="346"/>
    </row>
    <row r="216" spans="2:17" ht="15">
      <c r="B216" s="477" t="str">
        <f ca="1">SUPPAJA</f>
        <v>PT.SINAR KELAPA TEMBILAHAN</v>
      </c>
      <c r="C216" s="338">
        <f ca="1">IF(COUNTIFS($B$3:B216,DATAKBA[[#This Row],[NAMA SUPP]],$E$3:E216,DATAKBA[[#This Row],[TANGGAL]])&lt;&gt;1,0,1)</f>
        <v>0</v>
      </c>
      <c r="D216" s="222">
        <f t="shared" si="17"/>
        <v>19</v>
      </c>
      <c r="E216" s="478">
        <v>43860</v>
      </c>
      <c r="F216" s="479" t="str">
        <f ca="1">DOC</f>
        <v/>
      </c>
      <c r="G216" s="480" t="s">
        <v>379</v>
      </c>
      <c r="H216" s="481" t="s">
        <v>262</v>
      </c>
      <c r="I216" s="482">
        <v>5</v>
      </c>
      <c r="J216" s="483">
        <v>39410</v>
      </c>
      <c r="K216" s="483">
        <v>19420</v>
      </c>
      <c r="L216" s="484">
        <f ca="1">NET</f>
        <v>19990</v>
      </c>
      <c r="M216" s="222" t="str">
        <f ca="1">DL</f>
        <v>LAUT</v>
      </c>
      <c r="Q216" s="346"/>
    </row>
    <row r="217" spans="2:17" ht="15">
      <c r="B217" s="477" t="str">
        <f ca="1">SUPPAJA</f>
        <v>PT.SINAR KELAPA TEMBILAHAN</v>
      </c>
      <c r="C217" s="338">
        <f ca="1">IF(COUNTIFS($B$3:B217,DATAKBA[[#This Row],[NAMA SUPP]],$E$3:E217,DATAKBA[[#This Row],[TANGGAL]])&lt;&gt;1,0,1)</f>
        <v>0</v>
      </c>
      <c r="D217" s="222">
        <f t="shared" si="17"/>
        <v>20</v>
      </c>
      <c r="E217" s="478">
        <v>43860</v>
      </c>
      <c r="F217" s="479" t="str">
        <f ca="1">DOC</f>
        <v/>
      </c>
      <c r="G217" s="480" t="s">
        <v>380</v>
      </c>
      <c r="H217" s="481" t="s">
        <v>262</v>
      </c>
      <c r="I217" s="482">
        <v>2</v>
      </c>
      <c r="J217" s="483">
        <v>14690</v>
      </c>
      <c r="K217" s="483">
        <v>7780</v>
      </c>
      <c r="L217" s="484">
        <f ca="1">NET</f>
        <v>6910</v>
      </c>
      <c r="M217" s="222" t="str">
        <f ca="1">DL</f>
        <v>LAUT</v>
      </c>
      <c r="Q217" s="346"/>
    </row>
    <row r="218" spans="2:17" ht="15">
      <c r="B218" s="477" t="str">
        <f ca="1">SUPPAJA</f>
        <v>PT.SINAR KELAPA TEMBILAHAN</v>
      </c>
      <c r="C218" s="338">
        <f ca="1">IF(COUNTIFS($B$3:B218,DATAKBA[[#This Row],[NAMA SUPP]],$E$3:E218,DATAKBA[[#This Row],[TANGGAL]])&lt;&gt;1,0,1)</f>
        <v>0</v>
      </c>
      <c r="D218" s="222">
        <f t="shared" si="17"/>
        <v>21</v>
      </c>
      <c r="E218" s="478">
        <v>43860</v>
      </c>
      <c r="F218" s="479" t="str">
        <f ca="1">DOC</f>
        <v/>
      </c>
      <c r="G218" s="480" t="s">
        <v>381</v>
      </c>
      <c r="H218" s="481" t="s">
        <v>262</v>
      </c>
      <c r="I218" s="482">
        <v>2</v>
      </c>
      <c r="J218" s="483">
        <v>15960</v>
      </c>
      <c r="K218" s="483">
        <v>7780</v>
      </c>
      <c r="L218" s="484">
        <f ca="1">NET</f>
        <v>8180</v>
      </c>
      <c r="M218" s="222" t="str">
        <f ca="1">DL</f>
        <v>LAUT</v>
      </c>
      <c r="Q218" s="346"/>
    </row>
    <row r="219" spans="2:17" ht="15">
      <c r="B219" s="477" t="str">
        <f ca="1">SUPPAJA</f>
        <v>PT.SINAR KELAPA TEMBILAHAN</v>
      </c>
      <c r="C219" s="338">
        <f ca="1">IF(COUNTIFS($B$3:B219,DATAKBA[[#This Row],[NAMA SUPP]],$E$3:E219,DATAKBA[[#This Row],[TANGGAL]])&lt;&gt;1,0,1)</f>
        <v>0</v>
      </c>
      <c r="D219" s="222">
        <f t="shared" si="17"/>
        <v>22</v>
      </c>
      <c r="E219" s="478">
        <v>43860</v>
      </c>
      <c r="F219" s="479" t="str">
        <f ca="1">DOC</f>
        <v/>
      </c>
      <c r="G219" s="480" t="s">
        <v>382</v>
      </c>
      <c r="H219" s="481" t="s">
        <v>262</v>
      </c>
      <c r="I219" s="482">
        <v>2</v>
      </c>
      <c r="J219" s="483">
        <v>15570</v>
      </c>
      <c r="K219" s="483">
        <v>7760</v>
      </c>
      <c r="L219" s="484">
        <f ca="1">NET</f>
        <v>7810</v>
      </c>
      <c r="M219" s="222" t="str">
        <f ca="1">DL</f>
        <v>LAUT</v>
      </c>
      <c r="Q219" s="346"/>
    </row>
    <row r="220" spans="2:17" ht="15">
      <c r="B220" s="477" t="str">
        <f ca="1">SUPPAJA</f>
        <v>PT.SINAR KELAPA TEMBILAHAN</v>
      </c>
      <c r="C220" s="338">
        <f ca="1">IF(COUNTIFS($B$3:B220,DATAKBA[[#This Row],[NAMA SUPP]],$E$3:E220,DATAKBA[[#This Row],[TANGGAL]])&lt;&gt;1,0,1)</f>
        <v>0</v>
      </c>
      <c r="D220" s="222">
        <f t="shared" si="17"/>
        <v>23</v>
      </c>
      <c r="E220" s="478">
        <v>43860</v>
      </c>
      <c r="F220" s="479" t="str">
        <f ca="1">DOC</f>
        <v/>
      </c>
      <c r="G220" s="480" t="s">
        <v>373</v>
      </c>
      <c r="H220" s="481" t="s">
        <v>262</v>
      </c>
      <c r="I220" s="482">
        <v>11</v>
      </c>
      <c r="J220" s="483">
        <v>91910</v>
      </c>
      <c r="K220" s="483">
        <v>42420</v>
      </c>
      <c r="L220" s="484">
        <f ca="1">NET</f>
        <v>49490</v>
      </c>
      <c r="M220" s="222" t="str">
        <f ca="1">DL</f>
        <v>LAUT</v>
      </c>
      <c r="Q220" s="346"/>
    </row>
    <row r="221" spans="2:17" ht="15">
      <c r="B221" s="477" t="str">
        <f ca="1">SUPPAJA</f>
        <v>PT.SINAR KELAPA TEMBILAHAN</v>
      </c>
      <c r="C221" s="338">
        <f ca="1">IF(COUNTIFS($B$3:B221,DATAKBA[[#This Row],[NAMA SUPP]],$E$3:E221,DATAKBA[[#This Row],[TANGGAL]])&lt;&gt;1,0,1)</f>
        <v>0</v>
      </c>
      <c r="D221" s="222">
        <f t="shared" si="17"/>
        <v>24</v>
      </c>
      <c r="E221" s="478">
        <v>43860</v>
      </c>
      <c r="F221" s="479" t="str">
        <f ca="1">DOC</f>
        <v/>
      </c>
      <c r="G221" s="480" t="s">
        <v>383</v>
      </c>
      <c r="H221" s="481" t="s">
        <v>262</v>
      </c>
      <c r="I221" s="482">
        <v>1</v>
      </c>
      <c r="J221" s="483">
        <v>8170</v>
      </c>
      <c r="K221" s="483">
        <v>3870</v>
      </c>
      <c r="L221" s="484">
        <f ca="1">NET</f>
        <v>4300</v>
      </c>
      <c r="M221" s="222" t="str">
        <f ca="1">DL</f>
        <v>LAUT</v>
      </c>
      <c r="Q221" s="346"/>
    </row>
    <row r="222" spans="2:17" ht="15">
      <c r="B222" s="477" t="str">
        <f ca="1">SUPPAJA</f>
        <v>SUKAMTO</v>
      </c>
      <c r="C222" s="338">
        <f ca="1">IF(COUNTIFS($B$3:B222,DATAKBA[[#This Row],[NAMA SUPP]],$E$3:E222,DATAKBA[[#This Row],[TANGGAL]])&lt;&gt;1,0,1)</f>
        <v>1</v>
      </c>
      <c r="D222" s="222">
        <f t="shared" si="17"/>
        <v>25</v>
      </c>
      <c r="E222" s="478">
        <v>43860</v>
      </c>
      <c r="F222" s="479" t="str">
        <f ca="1">DOC</f>
        <v>007</v>
      </c>
      <c r="G222" s="480" t="s">
        <v>384</v>
      </c>
      <c r="H222" s="481" t="s">
        <v>275</v>
      </c>
      <c r="I222" s="482">
        <v>4</v>
      </c>
      <c r="J222" s="483">
        <v>35040</v>
      </c>
      <c r="K222" s="483">
        <v>15570</v>
      </c>
      <c r="L222" s="484">
        <f ca="1">NET</f>
        <v>19470</v>
      </c>
      <c r="M222" s="222" t="str">
        <f ca="1">DL</f>
        <v>LAUT</v>
      </c>
      <c r="Q222" s="346"/>
    </row>
    <row r="223" spans="2:17" ht="15">
      <c r="B223" s="477" t="str">
        <f ca="1">SUPPAJA</f>
        <v>SUKAMTO</v>
      </c>
      <c r="C223" s="338">
        <f ca="1">IF(COUNTIFS($B$3:B223,DATAKBA[[#This Row],[NAMA SUPP]],$E$3:E223,DATAKBA[[#This Row],[TANGGAL]])&lt;&gt;1,0,1)</f>
        <v>0</v>
      </c>
      <c r="D223" s="222">
        <f t="shared" si="17"/>
        <v>26</v>
      </c>
      <c r="E223" s="478">
        <v>43860</v>
      </c>
      <c r="F223" s="479" t="str">
        <f ca="1">DOC</f>
        <v/>
      </c>
      <c r="G223" s="480" t="s">
        <v>385</v>
      </c>
      <c r="H223" s="481" t="s">
        <v>275</v>
      </c>
      <c r="I223" s="482">
        <v>2</v>
      </c>
      <c r="J223" s="483">
        <v>11480</v>
      </c>
      <c r="K223" s="483">
        <v>7770</v>
      </c>
      <c r="L223" s="484">
        <f ca="1">NET</f>
        <v>3710</v>
      </c>
      <c r="M223" s="222" t="str">
        <f ca="1">DL</f>
        <v>LAUT</v>
      </c>
      <c r="Q223" s="346"/>
    </row>
    <row r="224" spans="2:17" ht="15">
      <c r="B224" s="477" t="str">
        <f ca="1">SUPPAJA</f>
        <v>SUKAMTO</v>
      </c>
      <c r="C224" s="338">
        <f ca="1">IF(COUNTIFS($B$3:B224,DATAKBA[[#This Row],[NAMA SUPP]],$E$3:E224,DATAKBA[[#This Row],[TANGGAL]])&lt;&gt;1,0,1)</f>
        <v>0</v>
      </c>
      <c r="D224" s="222">
        <f t="shared" si="17"/>
        <v>27</v>
      </c>
      <c r="E224" s="478">
        <v>43860</v>
      </c>
      <c r="F224" s="479" t="str">
        <f ca="1">DOC</f>
        <v/>
      </c>
      <c r="G224" s="480" t="s">
        <v>274</v>
      </c>
      <c r="H224" s="481" t="s">
        <v>275</v>
      </c>
      <c r="I224" s="482">
        <v>1</v>
      </c>
      <c r="J224" s="483">
        <v>8530</v>
      </c>
      <c r="K224" s="483">
        <v>3870</v>
      </c>
      <c r="L224" s="484">
        <f ca="1">NET</f>
        <v>4660</v>
      </c>
      <c r="M224" s="222" t="str">
        <f ca="1">DL</f>
        <v>LAUT</v>
      </c>
      <c r="Q224" s="346"/>
    </row>
    <row r="225" spans="2:17" ht="15">
      <c r="B225" s="477" t="str">
        <f ca="1">SUPPAJA</f>
        <v>WARTINI</v>
      </c>
      <c r="C225" s="338">
        <f ca="1">IF(COUNTIFS($B$3:B225,DATAKBA[[#This Row],[NAMA SUPP]],$E$3:E225,DATAKBA[[#This Row],[TANGGAL]])&lt;&gt;1,0,1)</f>
        <v>1</v>
      </c>
      <c r="D225" s="222">
        <f t="shared" si="17"/>
        <v>28</v>
      </c>
      <c r="E225" s="478">
        <v>43860</v>
      </c>
      <c r="F225" s="485" t="str">
        <f ca="1">DOC</f>
        <v>003</v>
      </c>
      <c r="G225" s="486" t="s">
        <v>386</v>
      </c>
      <c r="H225" s="487" t="s">
        <v>351</v>
      </c>
      <c r="I225" s="488">
        <v>5</v>
      </c>
      <c r="J225" s="483">
        <v>41720</v>
      </c>
      <c r="K225" s="483">
        <v>19540</v>
      </c>
      <c r="L225" s="484">
        <f ca="1">NET</f>
        <v>22180</v>
      </c>
      <c r="M225" s="222" t="str">
        <f ca="1">DL</f>
        <v>LAUT</v>
      </c>
      <c r="Q225" s="346"/>
    </row>
    <row r="226" spans="2:17" ht="15">
      <c r="B226" s="477" t="str">
        <f ca="1">SUPPAJA</f>
        <v>ERAWATI</v>
      </c>
      <c r="C226" s="338">
        <f ca="1">IF(COUNTIFS($B$3:B226,DATAKBA[[#This Row],[NAMA SUPP]],$E$3:E226,DATAKBA[[#This Row],[TANGGAL]])&lt;&gt;1,0,1)</f>
        <v>1</v>
      </c>
      <c r="D226" s="222">
        <f t="shared" ref="D226:D248" si="18">COUNTER_RUDI</f>
        <v>1</v>
      </c>
      <c r="E226" s="478">
        <v>43861</v>
      </c>
      <c r="F226" s="479" t="str">
        <f ca="1">DOC</f>
        <v>022</v>
      </c>
      <c r="G226" s="480" t="s">
        <v>220</v>
      </c>
      <c r="H226" s="481" t="s">
        <v>253</v>
      </c>
      <c r="I226" s="482">
        <v>7</v>
      </c>
      <c r="J226" s="483">
        <v>51270</v>
      </c>
      <c r="K226" s="483">
        <v>20420</v>
      </c>
      <c r="L226" s="484">
        <f ca="1">NET</f>
        <v>30850</v>
      </c>
      <c r="M226" s="222" t="str">
        <f ca="1">DL</f>
        <v>DARAT</v>
      </c>
      <c r="Q226" s="346"/>
    </row>
    <row r="227" spans="2:17" ht="15">
      <c r="B227" s="477" t="str">
        <f ca="1">SUPPAJA</f>
        <v>INDRAYANI</v>
      </c>
      <c r="C227" s="338">
        <f ca="1">IF(COUNTIFS($B$3:B227,DATAKBA[[#This Row],[NAMA SUPP]],$E$3:E227,DATAKBA[[#This Row],[TANGGAL]])&lt;&gt;1,0,1)</f>
        <v>1</v>
      </c>
      <c r="D227" s="222">
        <f t="shared" si="18"/>
        <v>2</v>
      </c>
      <c r="E227" s="478">
        <v>43861</v>
      </c>
      <c r="F227" s="479" t="str">
        <f ca="1">DOC</f>
        <v>020</v>
      </c>
      <c r="G227" s="480" t="s">
        <v>99</v>
      </c>
      <c r="H227" s="481" t="s">
        <v>253</v>
      </c>
      <c r="I227" s="482">
        <v>1</v>
      </c>
      <c r="J227" s="483">
        <v>12270</v>
      </c>
      <c r="K227" s="483">
        <v>4250</v>
      </c>
      <c r="L227" s="484">
        <f ca="1">NET</f>
        <v>8020</v>
      </c>
      <c r="M227" s="222" t="str">
        <f ca="1">DL</f>
        <v>DARAT</v>
      </c>
      <c r="Q227" s="346"/>
    </row>
    <row r="228" spans="2:17" ht="15">
      <c r="B228" s="477" t="str">
        <f ca="1">SUPPAJA</f>
        <v>RUSLAN JAYA, SH</v>
      </c>
      <c r="C228" s="338">
        <f ca="1">IF(COUNTIFS($B$3:B228,DATAKBA[[#This Row],[NAMA SUPP]],$E$3:E228,DATAKBA[[#This Row],[TANGGAL]])&lt;&gt;1,0,1)</f>
        <v>1</v>
      </c>
      <c r="D228" s="222">
        <f t="shared" si="18"/>
        <v>3</v>
      </c>
      <c r="E228" s="478">
        <v>43861</v>
      </c>
      <c r="F228" s="479" t="str">
        <f ca="1">DOC</f>
        <v>009</v>
      </c>
      <c r="G228" s="480" t="s">
        <v>230</v>
      </c>
      <c r="H228" s="481" t="s">
        <v>255</v>
      </c>
      <c r="I228" s="482">
        <v>2</v>
      </c>
      <c r="J228" s="483">
        <v>17970</v>
      </c>
      <c r="K228" s="483">
        <v>8790</v>
      </c>
      <c r="L228" s="484">
        <f ca="1">NET</f>
        <v>9180</v>
      </c>
      <c r="M228" s="222" t="str">
        <f ca="1">DL</f>
        <v>DARAT</v>
      </c>
      <c r="Q228" s="346"/>
    </row>
    <row r="229" spans="2:17" ht="15">
      <c r="B229" s="477" t="str">
        <f ca="1">SUPPAJA</f>
        <v>SAIRI</v>
      </c>
      <c r="C229" s="338">
        <f ca="1">IF(COUNTIFS($B$3:B229,DATAKBA[[#This Row],[NAMA SUPP]],$E$3:E229,DATAKBA[[#This Row],[TANGGAL]])&lt;&gt;1,0,1)</f>
        <v>1</v>
      </c>
      <c r="D229" s="222">
        <f t="shared" si="18"/>
        <v>4</v>
      </c>
      <c r="E229" s="478">
        <v>43861</v>
      </c>
      <c r="F229" s="479" t="str">
        <f ca="1">DOC</f>
        <v>016</v>
      </c>
      <c r="G229" s="480" t="s">
        <v>78</v>
      </c>
      <c r="H229" s="481" t="s">
        <v>267</v>
      </c>
      <c r="I229" s="482">
        <v>1</v>
      </c>
      <c r="J229" s="483">
        <v>4470</v>
      </c>
      <c r="K229" s="483">
        <v>1510</v>
      </c>
      <c r="L229" s="484">
        <f ca="1">NET</f>
        <v>2960</v>
      </c>
      <c r="M229" s="222" t="str">
        <f ca="1">DL</f>
        <v>DARAT</v>
      </c>
      <c r="Q229" s="346"/>
    </row>
    <row r="230" spans="2:17" ht="15">
      <c r="B230" s="477" t="str">
        <f ca="1">SUPPAJA</f>
        <v>YANADI</v>
      </c>
      <c r="C230" s="338">
        <f ca="1">IF(COUNTIFS($B$3:B230,DATAKBA[[#This Row],[NAMA SUPP]],$E$3:E230,DATAKBA[[#This Row],[TANGGAL]])&lt;&gt;1,0,1)</f>
        <v>1</v>
      </c>
      <c r="D230" s="222">
        <f t="shared" si="18"/>
        <v>5</v>
      </c>
      <c r="E230" s="478">
        <v>43861</v>
      </c>
      <c r="F230" s="485" t="str">
        <f ca="1">DOC</f>
        <v>012</v>
      </c>
      <c r="G230" s="486" t="s">
        <v>137</v>
      </c>
      <c r="H230" s="487" t="s">
        <v>265</v>
      </c>
      <c r="I230" s="488">
        <v>1</v>
      </c>
      <c r="J230" s="483">
        <v>13530</v>
      </c>
      <c r="K230" s="483">
        <v>4470</v>
      </c>
      <c r="L230" s="484">
        <f ca="1">NET</f>
        <v>9060</v>
      </c>
      <c r="M230" s="222" t="str">
        <f ca="1">DL</f>
        <v>DARAT</v>
      </c>
      <c r="Q230" s="346"/>
    </row>
    <row r="231" spans="2:17" ht="15">
      <c r="B231" s="477" t="str">
        <f ca="1">SUPPAJA</f>
        <v>YANADI</v>
      </c>
      <c r="C231" s="338">
        <f ca="1">IF(COUNTIFS($B$3:B231,DATAKBA[[#This Row],[NAMA SUPP]],$E$3:E231,DATAKBA[[#This Row],[TANGGAL]])&lt;&gt;1,0,1)</f>
        <v>0</v>
      </c>
      <c r="D231" s="222">
        <f t="shared" si="18"/>
        <v>6</v>
      </c>
      <c r="E231" s="478">
        <v>43861</v>
      </c>
      <c r="F231" s="485" t="str">
        <f ca="1">DOC</f>
        <v/>
      </c>
      <c r="G231" s="486" t="s">
        <v>281</v>
      </c>
      <c r="H231" s="487" t="s">
        <v>265</v>
      </c>
      <c r="I231" s="488">
        <v>2</v>
      </c>
      <c r="J231" s="483">
        <v>16310</v>
      </c>
      <c r="K231" s="483">
        <v>7750</v>
      </c>
      <c r="L231" s="484">
        <f ca="1">NET</f>
        <v>8560</v>
      </c>
      <c r="M231" s="222" t="str">
        <f ca="1">DL</f>
        <v>LAUT</v>
      </c>
      <c r="Q231" s="346"/>
    </row>
    <row r="232" spans="2:17" ht="15">
      <c r="B232" s="477" t="str">
        <f ca="1">SUPPAJA</f>
        <v>DINI CHAIRANI</v>
      </c>
      <c r="C232" s="338">
        <f ca="1">IF(COUNTIFS($B$3:B232,DATAKBA[[#This Row],[NAMA SUPP]],$E$3:E232,DATAKBA[[#This Row],[TANGGAL]])&lt;&gt;1,0,1)</f>
        <v>1</v>
      </c>
      <c r="D232" s="222">
        <f t="shared" si="18"/>
        <v>7</v>
      </c>
      <c r="E232" s="478">
        <v>43861</v>
      </c>
      <c r="F232" s="479" t="str">
        <f ca="1">DOC</f>
        <v>016</v>
      </c>
      <c r="G232" s="480" t="s">
        <v>269</v>
      </c>
      <c r="H232" s="481" t="s">
        <v>268</v>
      </c>
      <c r="I232" s="482">
        <v>5</v>
      </c>
      <c r="J232" s="483">
        <v>40560</v>
      </c>
      <c r="K232" s="483">
        <v>19320</v>
      </c>
      <c r="L232" s="484">
        <f ca="1">NET</f>
        <v>21240</v>
      </c>
      <c r="M232" s="222" t="str">
        <f ca="1">DL</f>
        <v>LAUT</v>
      </c>
      <c r="Q232" s="346"/>
    </row>
    <row r="233" spans="2:17" ht="15">
      <c r="B233" s="477" t="str">
        <f ca="1">SUPPAJA</f>
        <v>DINI CHAIRANI</v>
      </c>
      <c r="C233" s="338">
        <f ca="1">IF(COUNTIFS($B$3:B233,DATAKBA[[#This Row],[NAMA SUPP]],$E$3:E233,DATAKBA[[#This Row],[TANGGAL]])&lt;&gt;1,0,1)</f>
        <v>0</v>
      </c>
      <c r="D233" s="222">
        <f t="shared" si="18"/>
        <v>8</v>
      </c>
      <c r="E233" s="478">
        <v>43861</v>
      </c>
      <c r="F233" s="479" t="str">
        <f ca="1">DOC</f>
        <v/>
      </c>
      <c r="G233" s="480" t="s">
        <v>334</v>
      </c>
      <c r="H233" s="481" t="s">
        <v>268</v>
      </c>
      <c r="I233" s="482">
        <v>2</v>
      </c>
      <c r="J233" s="483">
        <v>18220</v>
      </c>
      <c r="K233" s="483">
        <v>7780</v>
      </c>
      <c r="L233" s="484">
        <f ca="1">NET</f>
        <v>10440</v>
      </c>
      <c r="M233" s="222" t="str">
        <f ca="1">DL</f>
        <v>LAUT</v>
      </c>
      <c r="Q233" s="346"/>
    </row>
    <row r="234" spans="2:17" ht="15">
      <c r="B234" s="477" t="str">
        <f ca="1">SUPPAJA</f>
        <v>HENDRI</v>
      </c>
      <c r="C234" s="338">
        <f ca="1">IF(COUNTIFS($B$3:B234,DATAKBA[[#This Row],[NAMA SUPP]],$E$3:E234,DATAKBA[[#This Row],[TANGGAL]])&lt;&gt;1,0,1)</f>
        <v>1</v>
      </c>
      <c r="D234" s="222">
        <f t="shared" si="18"/>
        <v>9</v>
      </c>
      <c r="E234" s="478">
        <v>43861</v>
      </c>
      <c r="F234" s="479" t="str">
        <f ca="1">DOC</f>
        <v>013</v>
      </c>
      <c r="G234" s="480" t="s">
        <v>332</v>
      </c>
      <c r="H234" s="481" t="s">
        <v>255</v>
      </c>
      <c r="I234" s="482">
        <v>1</v>
      </c>
      <c r="J234" s="483">
        <v>8800</v>
      </c>
      <c r="K234" s="483">
        <v>3890</v>
      </c>
      <c r="L234" s="484">
        <f ca="1">NET</f>
        <v>4910</v>
      </c>
      <c r="M234" s="222" t="str">
        <f ca="1">DL</f>
        <v>LAUT</v>
      </c>
      <c r="Q234" s="346"/>
    </row>
    <row r="235" spans="2:17" ht="15">
      <c r="B235" s="477" t="str">
        <f ca="1">SUPPAJA</f>
        <v>HENDRI</v>
      </c>
      <c r="C235" s="338">
        <f ca="1">IF(COUNTIFS($B$3:B235,DATAKBA[[#This Row],[NAMA SUPP]],$E$3:E235,DATAKBA[[#This Row],[TANGGAL]])&lt;&gt;1,0,1)</f>
        <v>0</v>
      </c>
      <c r="D235" s="222">
        <f t="shared" si="18"/>
        <v>10</v>
      </c>
      <c r="E235" s="478">
        <v>43861</v>
      </c>
      <c r="F235" s="479" t="str">
        <f ca="1">DOC</f>
        <v/>
      </c>
      <c r="G235" s="480" t="s">
        <v>335</v>
      </c>
      <c r="H235" s="481" t="s">
        <v>255</v>
      </c>
      <c r="I235" s="482">
        <v>3</v>
      </c>
      <c r="J235" s="483">
        <v>25060</v>
      </c>
      <c r="K235" s="483">
        <v>11510</v>
      </c>
      <c r="L235" s="484">
        <f ca="1">NET</f>
        <v>13550</v>
      </c>
      <c r="M235" s="222" t="str">
        <f ca="1">DL</f>
        <v>LAUT</v>
      </c>
      <c r="Q235" s="346"/>
    </row>
    <row r="236" spans="2:17" ht="15">
      <c r="B236" s="477" t="str">
        <f ca="1">SUPPAJA</f>
        <v>HENDRY JOHANES</v>
      </c>
      <c r="C236" s="338">
        <f ca="1">IF(COUNTIFS($B$3:B236,DATAKBA[[#This Row],[NAMA SUPP]],$E$3:E236,DATAKBA[[#This Row],[TANGGAL]])&lt;&gt;1,0,1)</f>
        <v>1</v>
      </c>
      <c r="D236" s="222">
        <f t="shared" si="18"/>
        <v>11</v>
      </c>
      <c r="E236" s="478">
        <v>43861</v>
      </c>
      <c r="F236" s="479" t="str">
        <f ca="1">DOC</f>
        <v>001</v>
      </c>
      <c r="G236" s="480" t="s">
        <v>387</v>
      </c>
      <c r="H236" s="481" t="s">
        <v>340</v>
      </c>
      <c r="I236" s="482">
        <v>3</v>
      </c>
      <c r="J236" s="483">
        <v>24920</v>
      </c>
      <c r="K236" s="483">
        <v>11660</v>
      </c>
      <c r="L236" s="484">
        <f ca="1">NET</f>
        <v>13260</v>
      </c>
      <c r="M236" s="222" t="str">
        <f ca="1">DL</f>
        <v>LAUT</v>
      </c>
      <c r="Q236" s="346"/>
    </row>
    <row r="237" spans="2:17" ht="15">
      <c r="B237" s="477" t="str">
        <f ca="1">SUPPAJA</f>
        <v>HENDRY JOHANES</v>
      </c>
      <c r="C237" s="338">
        <f ca="1">IF(COUNTIFS($B$3:B237,DATAKBA[[#This Row],[NAMA SUPP]],$E$3:E237,DATAKBA[[#This Row],[TANGGAL]])&lt;&gt;1,0,1)</f>
        <v>0</v>
      </c>
      <c r="D237" s="222">
        <f t="shared" si="18"/>
        <v>12</v>
      </c>
      <c r="E237" s="478">
        <v>43861</v>
      </c>
      <c r="F237" s="479" t="str">
        <f ca="1">DOC</f>
        <v/>
      </c>
      <c r="G237" s="480" t="s">
        <v>388</v>
      </c>
      <c r="H237" s="481" t="s">
        <v>340</v>
      </c>
      <c r="I237" s="482">
        <v>6</v>
      </c>
      <c r="J237" s="483">
        <v>52100</v>
      </c>
      <c r="K237" s="483">
        <v>23120</v>
      </c>
      <c r="L237" s="484">
        <f ca="1">NET</f>
        <v>28980</v>
      </c>
      <c r="M237" s="222" t="str">
        <f ca="1">DL</f>
        <v>LAUT</v>
      </c>
      <c r="Q237" s="346"/>
    </row>
    <row r="238" spans="2:17" ht="15">
      <c r="B238" s="477" t="str">
        <f ca="1">SUPPAJA</f>
        <v>MARTONO</v>
      </c>
      <c r="C238" s="338">
        <f ca="1">IF(COUNTIFS($B$3:B238,DATAKBA[[#This Row],[NAMA SUPP]],$E$3:E238,DATAKBA[[#This Row],[TANGGAL]])&lt;&gt;1,0,1)</f>
        <v>1</v>
      </c>
      <c r="D238" s="222">
        <f t="shared" si="18"/>
        <v>13</v>
      </c>
      <c r="E238" s="478">
        <v>43861</v>
      </c>
      <c r="F238" s="479" t="str">
        <f ca="1">DOC</f>
        <v>018</v>
      </c>
      <c r="G238" s="480" t="s">
        <v>326</v>
      </c>
      <c r="H238" s="481" t="s">
        <v>257</v>
      </c>
      <c r="I238" s="482">
        <v>4</v>
      </c>
      <c r="J238" s="483">
        <v>33630</v>
      </c>
      <c r="K238" s="483">
        <v>15490</v>
      </c>
      <c r="L238" s="484">
        <f ca="1">NET</f>
        <v>18140</v>
      </c>
      <c r="M238" s="222" t="str">
        <f ca="1">DL</f>
        <v>LAUT</v>
      </c>
      <c r="Q238" s="346"/>
    </row>
    <row r="239" spans="2:17" ht="15">
      <c r="B239" s="477" t="str">
        <f ca="1">SUPPAJA</f>
        <v>MASRI</v>
      </c>
      <c r="C239" s="338">
        <f ca="1">IF(COUNTIFS($B$3:B239,DATAKBA[[#This Row],[NAMA SUPP]],$E$3:E239,DATAKBA[[#This Row],[TANGGAL]])&lt;&gt;1,0,1)</f>
        <v>1</v>
      </c>
      <c r="D239" s="222">
        <f t="shared" si="18"/>
        <v>14</v>
      </c>
      <c r="E239" s="478">
        <v>43861</v>
      </c>
      <c r="F239" s="479" t="str">
        <f ca="1">DOC</f>
        <v>014</v>
      </c>
      <c r="G239" s="480" t="s">
        <v>333</v>
      </c>
      <c r="H239" s="481" t="s">
        <v>260</v>
      </c>
      <c r="I239" s="482">
        <v>10</v>
      </c>
      <c r="J239" s="483">
        <v>87140</v>
      </c>
      <c r="K239" s="483">
        <v>38850</v>
      </c>
      <c r="L239" s="484">
        <f ca="1">NET</f>
        <v>48290</v>
      </c>
      <c r="M239" s="222" t="str">
        <f ca="1">DL</f>
        <v>LAUT</v>
      </c>
      <c r="Q239" s="346"/>
    </row>
    <row r="240" spans="2:17" ht="15">
      <c r="B240" s="477" t="str">
        <f ca="1">SUPPAJA</f>
        <v>PT.SINAR KELAPA TEMBILAHAN</v>
      </c>
      <c r="C240" s="338">
        <f ca="1">IF(COUNTIFS($B$3:B240,DATAKBA[[#This Row],[NAMA SUPP]],$E$3:E240,DATAKBA[[#This Row],[TANGGAL]])&lt;&gt;1,0,1)</f>
        <v>1</v>
      </c>
      <c r="D240" s="222">
        <f t="shared" si="18"/>
        <v>15</v>
      </c>
      <c r="E240" s="478">
        <v>43861</v>
      </c>
      <c r="F240" s="479" t="str">
        <f ca="1">DOC</f>
        <v>006</v>
      </c>
      <c r="G240" s="480" t="s">
        <v>377</v>
      </c>
      <c r="H240" s="481" t="s">
        <v>262</v>
      </c>
      <c r="I240" s="482">
        <v>2</v>
      </c>
      <c r="J240" s="483">
        <v>16210</v>
      </c>
      <c r="K240" s="483">
        <v>7770</v>
      </c>
      <c r="L240" s="484">
        <f ca="1">NET</f>
        <v>8440</v>
      </c>
      <c r="M240" s="222" t="str">
        <f ca="1">DL</f>
        <v>LAUT</v>
      </c>
      <c r="Q240" s="346"/>
    </row>
    <row r="241" spans="2:17" ht="15">
      <c r="B241" s="477" t="str">
        <f ca="1">SUPPAJA</f>
        <v>PT.SINAR KELAPA TEMBILAHAN</v>
      </c>
      <c r="C241" s="338">
        <f ca="1">IF(COUNTIFS($B$3:B241,DATAKBA[[#This Row],[NAMA SUPP]],$E$3:E241,DATAKBA[[#This Row],[TANGGAL]])&lt;&gt;1,0,1)</f>
        <v>0</v>
      </c>
      <c r="D241" s="222">
        <f t="shared" si="18"/>
        <v>16</v>
      </c>
      <c r="E241" s="478">
        <v>43861</v>
      </c>
      <c r="F241" s="479" t="str">
        <f ca="1">DOC</f>
        <v/>
      </c>
      <c r="G241" s="480" t="s">
        <v>378</v>
      </c>
      <c r="H241" s="481" t="s">
        <v>262</v>
      </c>
      <c r="I241" s="482">
        <v>8</v>
      </c>
      <c r="J241" s="483">
        <v>71560</v>
      </c>
      <c r="K241" s="483">
        <v>31090</v>
      </c>
      <c r="L241" s="484">
        <f ca="1">NET</f>
        <v>40470</v>
      </c>
      <c r="M241" s="222" t="str">
        <f ca="1">DL</f>
        <v>LAUT</v>
      </c>
      <c r="Q241" s="346"/>
    </row>
    <row r="242" spans="2:17" ht="15">
      <c r="B242" s="477" t="str">
        <f ca="1">SUPPAJA</f>
        <v>PT.SINAR KELAPA TEMBILAHAN</v>
      </c>
      <c r="C242" s="338">
        <f ca="1">IF(COUNTIFS($B$3:B242,DATAKBA[[#This Row],[NAMA SUPP]],$E$3:E242,DATAKBA[[#This Row],[TANGGAL]])&lt;&gt;1,0,1)</f>
        <v>0</v>
      </c>
      <c r="D242" s="222">
        <f t="shared" si="18"/>
        <v>17</v>
      </c>
      <c r="E242" s="478">
        <v>43861</v>
      </c>
      <c r="F242" s="479" t="str">
        <f ca="1">DOC</f>
        <v/>
      </c>
      <c r="G242" s="480" t="s">
        <v>380</v>
      </c>
      <c r="H242" s="481" t="s">
        <v>262</v>
      </c>
      <c r="I242" s="482">
        <v>2</v>
      </c>
      <c r="J242" s="483">
        <v>14990</v>
      </c>
      <c r="K242" s="483">
        <v>7770</v>
      </c>
      <c r="L242" s="484">
        <f ca="1">NET</f>
        <v>7220</v>
      </c>
      <c r="M242" s="222" t="str">
        <f ca="1">DL</f>
        <v>LAUT</v>
      </c>
      <c r="Q242" s="346"/>
    </row>
    <row r="243" spans="2:17" ht="15">
      <c r="B243" s="477" t="str">
        <f ca="1">SUPPAJA</f>
        <v>PT.SINAR KELAPA TEMBILAHAN</v>
      </c>
      <c r="C243" s="338">
        <f ca="1">IF(COUNTIFS($B$3:B243,DATAKBA[[#This Row],[NAMA SUPP]],$E$3:E243,DATAKBA[[#This Row],[TANGGAL]])&lt;&gt;1,0,1)</f>
        <v>0</v>
      </c>
      <c r="D243" s="222">
        <f t="shared" si="18"/>
        <v>18</v>
      </c>
      <c r="E243" s="478">
        <v>43861</v>
      </c>
      <c r="F243" s="479" t="str">
        <f ca="1">DOC</f>
        <v/>
      </c>
      <c r="G243" s="480" t="s">
        <v>381</v>
      </c>
      <c r="H243" s="481" t="s">
        <v>262</v>
      </c>
      <c r="I243" s="482">
        <v>2</v>
      </c>
      <c r="J243" s="483">
        <v>14450</v>
      </c>
      <c r="K243" s="483">
        <v>7770</v>
      </c>
      <c r="L243" s="484">
        <f ca="1">NET</f>
        <v>6680</v>
      </c>
      <c r="M243" s="222" t="str">
        <f ca="1">DL</f>
        <v>LAUT</v>
      </c>
      <c r="Q243" s="346"/>
    </row>
    <row r="244" spans="2:17" ht="15">
      <c r="B244" s="477" t="str">
        <f ca="1">SUPPAJA</f>
        <v>PT.SINAR KELAPA TEMBILAHAN</v>
      </c>
      <c r="C244" s="338">
        <f ca="1">IF(COUNTIFS($B$3:B244,DATAKBA[[#This Row],[NAMA SUPP]],$E$3:E244,DATAKBA[[#This Row],[TANGGAL]])&lt;&gt;1,0,1)</f>
        <v>0</v>
      </c>
      <c r="D244" s="222">
        <f t="shared" si="18"/>
        <v>19</v>
      </c>
      <c r="E244" s="478">
        <v>43861</v>
      </c>
      <c r="F244" s="479" t="str">
        <f ca="1">DOC</f>
        <v/>
      </c>
      <c r="G244" s="480" t="s">
        <v>389</v>
      </c>
      <c r="H244" s="481" t="s">
        <v>262</v>
      </c>
      <c r="I244" s="482">
        <v>5</v>
      </c>
      <c r="J244" s="483">
        <v>42070</v>
      </c>
      <c r="K244" s="483">
        <v>19360</v>
      </c>
      <c r="L244" s="484">
        <f ca="1">NET</f>
        <v>22710</v>
      </c>
      <c r="M244" s="222" t="str">
        <f ca="1">DL</f>
        <v>LAUT</v>
      </c>
      <c r="Q244" s="346"/>
    </row>
    <row r="245" spans="2:17" ht="15">
      <c r="B245" s="477" t="str">
        <f ca="1">SUPPAJA</f>
        <v>PT.SINAR KELAPA TEMBILAHAN</v>
      </c>
      <c r="C245" s="338">
        <f ca="1">IF(COUNTIFS($B$3:B245,DATAKBA[[#This Row],[NAMA SUPP]],$E$3:E245,DATAKBA[[#This Row],[TANGGAL]])&lt;&gt;1,0,1)</f>
        <v>0</v>
      </c>
      <c r="D245" s="222">
        <f t="shared" si="18"/>
        <v>20</v>
      </c>
      <c r="E245" s="478">
        <v>43861</v>
      </c>
      <c r="F245" s="479" t="str">
        <f ca="1">DOC</f>
        <v/>
      </c>
      <c r="G245" s="480" t="s">
        <v>362</v>
      </c>
      <c r="H245" s="481" t="s">
        <v>262</v>
      </c>
      <c r="I245" s="482">
        <v>3</v>
      </c>
      <c r="J245" s="483">
        <v>25860</v>
      </c>
      <c r="K245" s="483">
        <v>11690</v>
      </c>
      <c r="L245" s="484">
        <f ca="1">NET</f>
        <v>14170</v>
      </c>
      <c r="M245" s="222" t="str">
        <f ca="1">DL</f>
        <v>LAUT</v>
      </c>
      <c r="Q245" s="346"/>
    </row>
    <row r="246" spans="2:17" ht="15">
      <c r="B246" s="477" t="str">
        <f ca="1">SUPPAJA</f>
        <v>PT.SINAR KELAPA TEMBILAHAN</v>
      </c>
      <c r="C246" s="338">
        <f ca="1">IF(COUNTIFS($B$3:B246,DATAKBA[[#This Row],[NAMA SUPP]],$E$3:E246,DATAKBA[[#This Row],[TANGGAL]])&lt;&gt;1,0,1)</f>
        <v>0</v>
      </c>
      <c r="D246" s="222">
        <f t="shared" si="18"/>
        <v>21</v>
      </c>
      <c r="E246" s="478">
        <v>43861</v>
      </c>
      <c r="F246" s="479" t="str">
        <f ca="1">DOC</f>
        <v/>
      </c>
      <c r="G246" s="480" t="s">
        <v>390</v>
      </c>
      <c r="H246" s="481" t="s">
        <v>262</v>
      </c>
      <c r="I246" s="482">
        <v>2</v>
      </c>
      <c r="J246" s="483">
        <v>17270</v>
      </c>
      <c r="K246" s="483">
        <v>7710</v>
      </c>
      <c r="L246" s="484">
        <f ca="1">NET</f>
        <v>9560</v>
      </c>
      <c r="M246" s="222" t="str">
        <f ca="1">DL</f>
        <v>LAUT</v>
      </c>
      <c r="Q246" s="346"/>
    </row>
    <row r="247" spans="2:17" ht="15">
      <c r="B247" s="477" t="str">
        <f ca="1">SUPPAJA</f>
        <v>RITA ERNITA</v>
      </c>
      <c r="C247" s="338">
        <f ca="1">IF(COUNTIFS($B$3:B247,DATAKBA[[#This Row],[NAMA SUPP]],$E$3:E247,DATAKBA[[#This Row],[TANGGAL]])&lt;&gt;1,0,1)</f>
        <v>1</v>
      </c>
      <c r="D247" s="222">
        <f t="shared" si="18"/>
        <v>22</v>
      </c>
      <c r="E247" s="478">
        <v>43861</v>
      </c>
      <c r="F247" s="479" t="str">
        <f ca="1">DOC</f>
        <v>004</v>
      </c>
      <c r="G247" s="480" t="s">
        <v>266</v>
      </c>
      <c r="H247" s="481" t="s">
        <v>263</v>
      </c>
      <c r="I247" s="482">
        <v>10</v>
      </c>
      <c r="J247" s="483">
        <v>85540</v>
      </c>
      <c r="K247" s="483">
        <v>38950</v>
      </c>
      <c r="L247" s="484">
        <f ca="1">NET</f>
        <v>46590</v>
      </c>
      <c r="M247" s="222" t="str">
        <f ca="1">DL</f>
        <v>LAUT</v>
      </c>
      <c r="Q247" s="346"/>
    </row>
    <row r="248" spans="2:17" ht="15">
      <c r="B248" s="477" t="str">
        <f ca="1">SUPPAJA</f>
        <v>ROSDIANTO</v>
      </c>
      <c r="C248" s="338">
        <f ca="1">IF(COUNTIFS($B$3:B248,DATAKBA[[#This Row],[NAMA SUPP]],$E$3:E248,DATAKBA[[#This Row],[TANGGAL]])&lt;&gt;1,0,1)</f>
        <v>1</v>
      </c>
      <c r="D248" s="222">
        <f t="shared" si="18"/>
        <v>23</v>
      </c>
      <c r="E248" s="478">
        <v>43861</v>
      </c>
      <c r="F248" s="485" t="str">
        <f ca="1">DOC</f>
        <v>002</v>
      </c>
      <c r="G248" s="486" t="s">
        <v>391</v>
      </c>
      <c r="H248" s="487" t="s">
        <v>368</v>
      </c>
      <c r="I248" s="488">
        <v>6</v>
      </c>
      <c r="J248" s="483">
        <v>52690</v>
      </c>
      <c r="K248" s="483">
        <v>23410</v>
      </c>
      <c r="L248" s="484">
        <f ca="1">NET</f>
        <v>29280</v>
      </c>
      <c r="M248" s="222" t="str">
        <f ca="1">DL</f>
        <v>LAUT</v>
      </c>
      <c r="Q248" s="346"/>
    </row>
    <row r="249" spans="2:17" ht="15">
      <c r="B249" s="477" t="str">
        <f ca="1">SUPPAJA</f>
        <v>ERAWATI</v>
      </c>
      <c r="C249" s="338">
        <f ca="1">IF(COUNTIFS($B$3:B249,DATAKBA[[#This Row],[NAMA SUPP]],$E$3:E249,DATAKBA[[#This Row],[TANGGAL]])&lt;&gt;1,0,1)</f>
        <v>1</v>
      </c>
      <c r="D249" s="222">
        <f t="shared" ref="D249:D258" si="19">COUNTER_RUDI</f>
        <v>1</v>
      </c>
      <c r="E249" s="478">
        <v>43862</v>
      </c>
      <c r="F249" s="479" t="str">
        <f ca="1">DOC</f>
        <v>023</v>
      </c>
      <c r="G249" s="480" t="s">
        <v>220</v>
      </c>
      <c r="H249" s="481" t="s">
        <v>253</v>
      </c>
      <c r="I249" s="482">
        <v>8</v>
      </c>
      <c r="J249" s="483">
        <v>48630</v>
      </c>
      <c r="K249" s="483">
        <v>21860</v>
      </c>
      <c r="L249" s="484">
        <f ca="1">NET</f>
        <v>26770</v>
      </c>
      <c r="M249" s="222" t="str">
        <f ca="1">DL</f>
        <v>DARAT</v>
      </c>
      <c r="Q249" s="346"/>
    </row>
    <row r="250" spans="2:17" ht="15">
      <c r="B250" s="477" t="str">
        <f ca="1">SUPPAJA</f>
        <v>INDRAYANI</v>
      </c>
      <c r="C250" s="338">
        <f ca="1">IF(COUNTIFS($B$3:B250,DATAKBA[[#This Row],[NAMA SUPP]],$E$3:E250,DATAKBA[[#This Row],[TANGGAL]])&lt;&gt;1,0,1)</f>
        <v>1</v>
      </c>
      <c r="D250" s="222">
        <f t="shared" si="19"/>
        <v>2</v>
      </c>
      <c r="E250" s="478">
        <v>43862</v>
      </c>
      <c r="F250" s="485" t="str">
        <f ca="1">DOC</f>
        <v>021</v>
      </c>
      <c r="G250" s="486" t="s">
        <v>99</v>
      </c>
      <c r="H250" s="487" t="s">
        <v>253</v>
      </c>
      <c r="I250" s="488">
        <v>1</v>
      </c>
      <c r="J250" s="483">
        <v>10110</v>
      </c>
      <c r="K250" s="483">
        <v>7030</v>
      </c>
      <c r="L250" s="484">
        <f ca="1">NET</f>
        <v>3080</v>
      </c>
      <c r="M250" s="222" t="str">
        <f ca="1">DL</f>
        <v>DARAT</v>
      </c>
      <c r="Q250" s="346"/>
    </row>
    <row r="251" spans="2:17" ht="15">
      <c r="B251" s="477" t="str">
        <f ca="1">SUPPAJA</f>
        <v>RUSLAN JAYA, SH</v>
      </c>
      <c r="C251" s="338">
        <f ca="1">IF(COUNTIFS($B$3:B251,DATAKBA[[#This Row],[NAMA SUPP]],$E$3:E251,DATAKBA[[#This Row],[TANGGAL]])&lt;&gt;1,0,1)</f>
        <v>1</v>
      </c>
      <c r="D251" s="222">
        <f t="shared" si="19"/>
        <v>3</v>
      </c>
      <c r="E251" s="478">
        <v>43862</v>
      </c>
      <c r="F251" s="479" t="str">
        <f ca="1">DOC</f>
        <v>010</v>
      </c>
      <c r="G251" s="486" t="s">
        <v>230</v>
      </c>
      <c r="H251" s="487" t="s">
        <v>255</v>
      </c>
      <c r="I251" s="482">
        <v>3</v>
      </c>
      <c r="J251" s="483">
        <v>30760</v>
      </c>
      <c r="K251" s="483">
        <v>10140</v>
      </c>
      <c r="L251" s="484">
        <f ca="1">NET</f>
        <v>20620</v>
      </c>
      <c r="M251" s="222" t="str">
        <f ca="1">DL</f>
        <v>DARAT</v>
      </c>
      <c r="Q251" s="346"/>
    </row>
    <row r="252" spans="2:17" ht="15">
      <c r="B252" s="477" t="str">
        <f ca="1">SUPPAJA</f>
        <v>MARTONO</v>
      </c>
      <c r="C252" s="338">
        <f ca="1">IF(COUNTIFS($B$3:B252,DATAKBA[[#This Row],[NAMA SUPP]],$E$3:E252,DATAKBA[[#This Row],[TANGGAL]])&lt;&gt;1,0,1)</f>
        <v>1</v>
      </c>
      <c r="D252" s="222">
        <f t="shared" si="19"/>
        <v>4</v>
      </c>
      <c r="E252" s="478">
        <v>43862</v>
      </c>
      <c r="F252" s="479" t="str">
        <f ca="1">DOC</f>
        <v>019</v>
      </c>
      <c r="G252" s="480" t="s">
        <v>347</v>
      </c>
      <c r="H252" s="481" t="s">
        <v>257</v>
      </c>
      <c r="I252" s="482">
        <v>2</v>
      </c>
      <c r="J252" s="483">
        <v>17530</v>
      </c>
      <c r="K252" s="483">
        <v>7770</v>
      </c>
      <c r="L252" s="484">
        <f ca="1">NET</f>
        <v>9760</v>
      </c>
      <c r="M252" s="222" t="str">
        <f ca="1">DL</f>
        <v>LAUT</v>
      </c>
      <c r="Q252" s="346"/>
    </row>
    <row r="253" spans="2:17" ht="15">
      <c r="B253" s="477" t="str">
        <f ca="1">SUPPAJA</f>
        <v>MARTONO</v>
      </c>
      <c r="C253" s="338">
        <f ca="1">IF(COUNTIFS($B$3:B253,DATAKBA[[#This Row],[NAMA SUPP]],$E$3:E253,DATAKBA[[#This Row],[TANGGAL]])&lt;&gt;1,0,1)</f>
        <v>0</v>
      </c>
      <c r="D253" s="222">
        <f t="shared" si="19"/>
        <v>5</v>
      </c>
      <c r="E253" s="478">
        <v>43862</v>
      </c>
      <c r="F253" s="485" t="str">
        <f ca="1">DOC</f>
        <v/>
      </c>
      <c r="G253" s="486" t="s">
        <v>271</v>
      </c>
      <c r="H253" s="481" t="s">
        <v>257</v>
      </c>
      <c r="I253" s="488">
        <v>2</v>
      </c>
      <c r="J253" s="483">
        <v>14110</v>
      </c>
      <c r="K253" s="483">
        <v>7740</v>
      </c>
      <c r="L253" s="484">
        <f ca="1">NET</f>
        <v>6370</v>
      </c>
      <c r="M253" s="222" t="str">
        <f ca="1">DL</f>
        <v>LAUT</v>
      </c>
      <c r="Q253" s="346"/>
    </row>
    <row r="254" spans="2:17" ht="15">
      <c r="B254" s="477" t="str">
        <f ca="1">SUPPAJA</f>
        <v>MARTONO</v>
      </c>
      <c r="C254" s="338">
        <f ca="1">IF(COUNTIFS($B$3:B254,DATAKBA[[#This Row],[NAMA SUPP]],$E$3:E254,DATAKBA[[#This Row],[TANGGAL]])&lt;&gt;1,0,1)</f>
        <v>0</v>
      </c>
      <c r="D254" s="222">
        <f t="shared" si="19"/>
        <v>6</v>
      </c>
      <c r="E254" s="478">
        <v>43862</v>
      </c>
      <c r="F254" s="479" t="str">
        <f ca="1">DOC</f>
        <v/>
      </c>
      <c r="G254" s="480" t="s">
        <v>279</v>
      </c>
      <c r="H254" s="481" t="s">
        <v>257</v>
      </c>
      <c r="I254" s="482">
        <v>2</v>
      </c>
      <c r="J254" s="483">
        <v>16030</v>
      </c>
      <c r="K254" s="483">
        <v>7770</v>
      </c>
      <c r="L254" s="484">
        <f ca="1">NET</f>
        <v>8260</v>
      </c>
      <c r="M254" s="222" t="str">
        <f ca="1">DL</f>
        <v>LAUT</v>
      </c>
      <c r="Q254" s="346"/>
    </row>
    <row r="255" spans="2:17" ht="15">
      <c r="B255" s="477" t="str">
        <f ca="1">SUPPAJA</f>
        <v>MARTONO</v>
      </c>
      <c r="C255" s="338">
        <f ca="1">IF(COUNTIFS($B$3:B255,DATAKBA[[#This Row],[NAMA SUPP]],$E$3:E255,DATAKBA[[#This Row],[TANGGAL]])&lt;&gt;1,0,1)</f>
        <v>0</v>
      </c>
      <c r="D255" s="222">
        <f t="shared" si="19"/>
        <v>7</v>
      </c>
      <c r="E255" s="478">
        <v>43862</v>
      </c>
      <c r="F255" s="479" t="str">
        <f ca="1">DOC</f>
        <v/>
      </c>
      <c r="G255" s="480" t="s">
        <v>258</v>
      </c>
      <c r="H255" s="481" t="s">
        <v>257</v>
      </c>
      <c r="I255" s="482">
        <v>1</v>
      </c>
      <c r="J255" s="483">
        <v>7170</v>
      </c>
      <c r="K255" s="483">
        <v>3880</v>
      </c>
      <c r="L255" s="484">
        <f ca="1">NET</f>
        <v>3290</v>
      </c>
      <c r="M255" s="222" t="str">
        <f ca="1">DL</f>
        <v>LAUT</v>
      </c>
      <c r="Q255" s="346"/>
    </row>
    <row r="256" spans="2:17" ht="15">
      <c r="B256" s="477" t="str">
        <f ca="1">SUPPAJA</f>
        <v>MASRI</v>
      </c>
      <c r="C256" s="338">
        <f ca="1">IF(COUNTIFS($B$3:B256,DATAKBA[[#This Row],[NAMA SUPP]],$E$3:E256,DATAKBA[[#This Row],[TANGGAL]])&lt;&gt;1,0,1)</f>
        <v>1</v>
      </c>
      <c r="D256" s="222">
        <f t="shared" si="19"/>
        <v>8</v>
      </c>
      <c r="E256" s="478">
        <v>43862</v>
      </c>
      <c r="F256" s="485" t="str">
        <f ca="1">DOC</f>
        <v>015</v>
      </c>
      <c r="G256" s="486" t="s">
        <v>336</v>
      </c>
      <c r="H256" s="481" t="s">
        <v>260</v>
      </c>
      <c r="I256" s="488">
        <v>7</v>
      </c>
      <c r="J256" s="483">
        <v>60480</v>
      </c>
      <c r="K256" s="483">
        <v>27260</v>
      </c>
      <c r="L256" s="484">
        <f ca="1">NET</f>
        <v>33220</v>
      </c>
      <c r="M256" s="222" t="str">
        <f ca="1">DL</f>
        <v>LAUT</v>
      </c>
      <c r="Q256" s="346"/>
    </row>
    <row r="257" spans="2:17" ht="15">
      <c r="B257" s="477" t="str">
        <f ca="1">SUPPAJA</f>
        <v>PT.SINAR KELAPA TEMBILAHAN</v>
      </c>
      <c r="C257" s="338">
        <f ca="1">IF(COUNTIFS($B$3:B257,DATAKBA[[#This Row],[NAMA SUPP]],$E$3:E257,DATAKBA[[#This Row],[TANGGAL]])&lt;&gt;1,0,1)</f>
        <v>1</v>
      </c>
      <c r="D257" s="222">
        <f t="shared" si="19"/>
        <v>9</v>
      </c>
      <c r="E257" s="478">
        <v>43862</v>
      </c>
      <c r="F257" s="479" t="str">
        <f ca="1">DOC</f>
        <v>007</v>
      </c>
      <c r="G257" s="480" t="s">
        <v>381</v>
      </c>
      <c r="H257" s="481" t="s">
        <v>262</v>
      </c>
      <c r="I257" s="482">
        <v>2</v>
      </c>
      <c r="J257" s="483">
        <v>15100</v>
      </c>
      <c r="K257" s="483">
        <v>7760</v>
      </c>
      <c r="L257" s="484">
        <f ca="1">NET</f>
        <v>7340</v>
      </c>
      <c r="M257" s="222" t="str">
        <f ca="1">DL</f>
        <v>LAUT</v>
      </c>
      <c r="Q257" s="346"/>
    </row>
    <row r="258" spans="2:17" ht="15">
      <c r="B258" s="477" t="str">
        <f ca="1">SUPPAJA</f>
        <v>PT.SINAR KELAPA TEMBILAHAN</v>
      </c>
      <c r="C258" s="338">
        <f ca="1">IF(COUNTIFS($B$3:B258,DATAKBA[[#This Row],[NAMA SUPP]],$E$3:E258,DATAKBA[[#This Row],[TANGGAL]])&lt;&gt;1,0,1)</f>
        <v>0</v>
      </c>
      <c r="D258" s="222">
        <f t="shared" si="19"/>
        <v>10</v>
      </c>
      <c r="E258" s="478">
        <v>43862</v>
      </c>
      <c r="F258" s="485" t="str">
        <f ca="1">DOC</f>
        <v/>
      </c>
      <c r="G258" s="486" t="s">
        <v>390</v>
      </c>
      <c r="H258" s="481" t="s">
        <v>262</v>
      </c>
      <c r="I258" s="488">
        <v>2</v>
      </c>
      <c r="J258" s="483">
        <v>15370</v>
      </c>
      <c r="K258" s="483">
        <v>7750</v>
      </c>
      <c r="L258" s="484">
        <f ca="1">NET</f>
        <v>7620</v>
      </c>
      <c r="M258" s="222" t="str">
        <f ca="1">DL</f>
        <v>LAUT</v>
      </c>
      <c r="Q258" s="346"/>
    </row>
    <row r="259" spans="2:17" ht="15">
      <c r="B259" s="477" t="str">
        <f ca="1">SUPPAJA</f>
        <v>ERAWATI</v>
      </c>
      <c r="C259" s="338">
        <f ca="1">IF(COUNTIFS($B$3:B259,DATAKBA[[#This Row],[NAMA SUPP]],$E$3:E259,DATAKBA[[#This Row],[TANGGAL]])&lt;&gt;1,0,1)</f>
        <v>1</v>
      </c>
      <c r="D259" s="222">
        <f t="shared" ref="D259:D282" si="20">COUNTER_RUDI</f>
        <v>1</v>
      </c>
      <c r="E259" s="478">
        <v>43864</v>
      </c>
      <c r="F259" s="479" t="str">
        <f ca="1">DOC</f>
        <v>024</v>
      </c>
      <c r="G259" s="480" t="s">
        <v>220</v>
      </c>
      <c r="H259" s="481" t="s">
        <v>253</v>
      </c>
      <c r="I259" s="482">
        <v>8</v>
      </c>
      <c r="J259" s="483">
        <v>67310</v>
      </c>
      <c r="K259" s="483">
        <v>33900</v>
      </c>
      <c r="L259" s="484">
        <f ca="1">NET</f>
        <v>33410</v>
      </c>
      <c r="M259" s="222" t="str">
        <f ca="1">DL</f>
        <v>DARAT</v>
      </c>
      <c r="Q259" s="346"/>
    </row>
    <row r="260" spans="2:17" ht="15">
      <c r="B260" s="477" t="str">
        <f ca="1">SUPPAJA</f>
        <v>INDRAYANI</v>
      </c>
      <c r="C260" s="338">
        <f ca="1">IF(COUNTIFS($B$3:B260,DATAKBA[[#This Row],[NAMA SUPP]],$E$3:E260,DATAKBA[[#This Row],[TANGGAL]])&lt;&gt;1,0,1)</f>
        <v>1</v>
      </c>
      <c r="D260" s="222">
        <f t="shared" si="20"/>
        <v>2</v>
      </c>
      <c r="E260" s="478">
        <v>43864</v>
      </c>
      <c r="F260" s="479" t="str">
        <f ca="1">DOC</f>
        <v>022</v>
      </c>
      <c r="G260" s="480" t="s">
        <v>99</v>
      </c>
      <c r="H260" s="481" t="s">
        <v>253</v>
      </c>
      <c r="I260" s="482">
        <v>2</v>
      </c>
      <c r="J260" s="483">
        <v>21270</v>
      </c>
      <c r="K260" s="483">
        <v>7780</v>
      </c>
      <c r="L260" s="484">
        <f ca="1">NET</f>
        <v>13490</v>
      </c>
      <c r="M260" s="222" t="str">
        <f ca="1">DL</f>
        <v>DARAT</v>
      </c>
      <c r="Q260" s="346"/>
    </row>
    <row r="261" spans="2:17" ht="15">
      <c r="B261" s="477" t="str">
        <f ca="1">SUPPAJA</f>
        <v>RUSLAN JAYA, SH</v>
      </c>
      <c r="C261" s="338">
        <f ca="1">IF(COUNTIFS($B$3:B261,DATAKBA[[#This Row],[NAMA SUPP]],$E$3:E261,DATAKBA[[#This Row],[TANGGAL]])&lt;&gt;1,0,1)</f>
        <v>1</v>
      </c>
      <c r="D261" s="222">
        <f t="shared" si="20"/>
        <v>3</v>
      </c>
      <c r="E261" s="478">
        <v>43864</v>
      </c>
      <c r="F261" s="479" t="str">
        <f ca="1">DOC</f>
        <v>011</v>
      </c>
      <c r="G261" s="480" t="s">
        <v>230</v>
      </c>
      <c r="H261" s="481" t="s">
        <v>255</v>
      </c>
      <c r="I261" s="482">
        <v>5</v>
      </c>
      <c r="J261" s="483">
        <v>48480</v>
      </c>
      <c r="K261" s="483">
        <v>18650</v>
      </c>
      <c r="L261" s="484">
        <f ca="1">NET</f>
        <v>29830</v>
      </c>
      <c r="M261" s="222" t="str">
        <f ca="1">DL</f>
        <v>DARAT</v>
      </c>
      <c r="Q261" s="346"/>
    </row>
    <row r="262" spans="2:17" ht="15">
      <c r="B262" s="477" t="str">
        <f ca="1">SUPPAJA</f>
        <v>SAIRI</v>
      </c>
      <c r="C262" s="338">
        <f ca="1">IF(COUNTIFS($B$3:B262,DATAKBA[[#This Row],[NAMA SUPP]],$E$3:E262,DATAKBA[[#This Row],[TANGGAL]])&lt;&gt;1,0,1)</f>
        <v>1</v>
      </c>
      <c r="D262" s="222">
        <f t="shared" si="20"/>
        <v>4</v>
      </c>
      <c r="E262" s="478">
        <v>43864</v>
      </c>
      <c r="F262" s="479" t="str">
        <f ca="1">DOC</f>
        <v>017</v>
      </c>
      <c r="G262" s="480" t="s">
        <v>78</v>
      </c>
      <c r="H262" s="481" t="s">
        <v>267</v>
      </c>
      <c r="I262" s="482">
        <v>3</v>
      </c>
      <c r="J262" s="483">
        <v>19780</v>
      </c>
      <c r="K262" s="483">
        <v>10240</v>
      </c>
      <c r="L262" s="484">
        <f ca="1">NET</f>
        <v>9540</v>
      </c>
      <c r="M262" s="222" t="str">
        <f ca="1">DL</f>
        <v>DARAT</v>
      </c>
      <c r="Q262" s="346"/>
    </row>
    <row r="263" spans="2:17" ht="15">
      <c r="B263" s="477" t="str">
        <f ca="1">SUPPAJA</f>
        <v>YANADI</v>
      </c>
      <c r="C263" s="338">
        <f ca="1">IF(COUNTIFS($B$3:B263,DATAKBA[[#This Row],[NAMA SUPP]],$E$3:E263,DATAKBA[[#This Row],[TANGGAL]])&lt;&gt;1,0,1)</f>
        <v>1</v>
      </c>
      <c r="D263" s="222">
        <f t="shared" si="20"/>
        <v>5</v>
      </c>
      <c r="E263" s="478">
        <v>43864</v>
      </c>
      <c r="F263" s="485" t="str">
        <f ca="1">DOC</f>
        <v>013</v>
      </c>
      <c r="G263" s="486" t="s">
        <v>137</v>
      </c>
      <c r="H263" s="487" t="s">
        <v>265</v>
      </c>
      <c r="I263" s="488">
        <v>4</v>
      </c>
      <c r="J263" s="483">
        <v>35210</v>
      </c>
      <c r="K263" s="483">
        <v>11860</v>
      </c>
      <c r="L263" s="484">
        <f ca="1">NET</f>
        <v>23350</v>
      </c>
      <c r="M263" s="222" t="str">
        <f ca="1">DL</f>
        <v>DARAT</v>
      </c>
      <c r="Q263" s="346"/>
    </row>
    <row r="264" spans="2:17" ht="15">
      <c r="B264" s="477" t="str">
        <f ca="1">SUPPAJA</f>
        <v>DINI CHAIRANI</v>
      </c>
      <c r="C264" s="338">
        <f ca="1">IF(COUNTIFS($B$3:B264,DATAKBA[[#This Row],[NAMA SUPP]],$E$3:E264,DATAKBA[[#This Row],[TANGGAL]])&lt;&gt;1,0,1)</f>
        <v>1</v>
      </c>
      <c r="D264" s="222">
        <f t="shared" si="20"/>
        <v>6</v>
      </c>
      <c r="E264" s="478">
        <v>43864</v>
      </c>
      <c r="F264" s="479" t="str">
        <f ca="1">DOC</f>
        <v>017</v>
      </c>
      <c r="G264" s="480" t="s">
        <v>334</v>
      </c>
      <c r="H264" s="481" t="s">
        <v>268</v>
      </c>
      <c r="I264" s="482">
        <v>2</v>
      </c>
      <c r="J264" s="483">
        <v>16110</v>
      </c>
      <c r="K264" s="483">
        <v>7670</v>
      </c>
      <c r="L264" s="484">
        <f ca="1">NET</f>
        <v>8440</v>
      </c>
      <c r="M264" s="222" t="str">
        <f ca="1">DL</f>
        <v>LAUT</v>
      </c>
      <c r="Q264" s="346"/>
    </row>
    <row r="265" spans="2:17" ht="15">
      <c r="B265" s="477" t="str">
        <f ca="1">SUPPAJA</f>
        <v>DINI CHAIRANI</v>
      </c>
      <c r="C265" s="338">
        <f ca="1">IF(COUNTIFS($B$3:B265,DATAKBA[[#This Row],[NAMA SUPP]],$E$3:E265,DATAKBA[[#This Row],[TANGGAL]])&lt;&gt;1,0,1)</f>
        <v>0</v>
      </c>
      <c r="D265" s="222">
        <f t="shared" si="20"/>
        <v>7</v>
      </c>
      <c r="E265" s="478">
        <v>43864</v>
      </c>
      <c r="F265" s="479" t="str">
        <f ca="1">DOC</f>
        <v/>
      </c>
      <c r="G265" s="480" t="s">
        <v>371</v>
      </c>
      <c r="H265" s="481" t="s">
        <v>268</v>
      </c>
      <c r="I265" s="482">
        <v>2</v>
      </c>
      <c r="J265" s="483">
        <v>14260</v>
      </c>
      <c r="K265" s="483">
        <v>7890</v>
      </c>
      <c r="L265" s="484">
        <f ca="1">NET</f>
        <v>6370</v>
      </c>
      <c r="M265" s="222" t="str">
        <f ca="1">DL</f>
        <v>LAUT</v>
      </c>
      <c r="Q265" s="346"/>
    </row>
    <row r="266" spans="2:17" ht="15">
      <c r="B266" s="477" t="str">
        <f ca="1">SUPPAJA</f>
        <v>HENDRI</v>
      </c>
      <c r="C266" s="338">
        <f ca="1">IF(COUNTIFS($B$3:B266,DATAKBA[[#This Row],[NAMA SUPP]],$E$3:E266,DATAKBA[[#This Row],[TANGGAL]])&lt;&gt;1,0,1)</f>
        <v>1</v>
      </c>
      <c r="D266" s="222">
        <f t="shared" si="20"/>
        <v>8</v>
      </c>
      <c r="E266" s="478">
        <v>43864</v>
      </c>
      <c r="F266" s="479" t="str">
        <f ca="1">DOC</f>
        <v>014</v>
      </c>
      <c r="G266" s="480" t="s">
        <v>332</v>
      </c>
      <c r="H266" s="481" t="s">
        <v>255</v>
      </c>
      <c r="I266" s="482">
        <v>1</v>
      </c>
      <c r="J266" s="483">
        <v>9210</v>
      </c>
      <c r="K266" s="483">
        <v>4010</v>
      </c>
      <c r="L266" s="484">
        <f ca="1">NET</f>
        <v>5200</v>
      </c>
      <c r="M266" s="222" t="str">
        <f ca="1">DL</f>
        <v>LAUT</v>
      </c>
      <c r="Q266" s="346"/>
    </row>
    <row r="267" spans="2:17" ht="15">
      <c r="B267" s="477" t="str">
        <f ca="1">SUPPAJA</f>
        <v>HENDRI</v>
      </c>
      <c r="C267" s="338">
        <f ca="1">IF(COUNTIFS($B$3:B267,DATAKBA[[#This Row],[NAMA SUPP]],$E$3:E267,DATAKBA[[#This Row],[TANGGAL]])&lt;&gt;1,0,1)</f>
        <v>0</v>
      </c>
      <c r="D267" s="222">
        <f t="shared" si="20"/>
        <v>9</v>
      </c>
      <c r="E267" s="478">
        <v>43864</v>
      </c>
      <c r="F267" s="479" t="str">
        <f ca="1">DOC</f>
        <v/>
      </c>
      <c r="G267" s="480" t="s">
        <v>342</v>
      </c>
      <c r="H267" s="481" t="s">
        <v>255</v>
      </c>
      <c r="I267" s="482">
        <v>5</v>
      </c>
      <c r="J267" s="483">
        <v>41780</v>
      </c>
      <c r="K267" s="483">
        <v>19470</v>
      </c>
      <c r="L267" s="484">
        <f ca="1">NET</f>
        <v>22310</v>
      </c>
      <c r="M267" s="222" t="str">
        <f ca="1">DL</f>
        <v>LAUT</v>
      </c>
      <c r="Q267" s="346"/>
    </row>
    <row r="268" spans="2:17" ht="15">
      <c r="B268" s="477" t="str">
        <f ca="1">SUPPAJA</f>
        <v>MARTONO</v>
      </c>
      <c r="C268" s="338">
        <f ca="1">IF(COUNTIFS($B$3:B268,DATAKBA[[#This Row],[NAMA SUPP]],$E$3:E268,DATAKBA[[#This Row],[TANGGAL]])&lt;&gt;1,0,1)</f>
        <v>1</v>
      </c>
      <c r="D268" s="222">
        <f t="shared" si="20"/>
        <v>10</v>
      </c>
      <c r="E268" s="478">
        <v>43864</v>
      </c>
      <c r="F268" s="479" t="str">
        <f ca="1">DOC</f>
        <v>020</v>
      </c>
      <c r="G268" s="480" t="s">
        <v>392</v>
      </c>
      <c r="H268" s="481" t="s">
        <v>257</v>
      </c>
      <c r="I268" s="482">
        <v>5</v>
      </c>
      <c r="J268" s="483">
        <v>40460</v>
      </c>
      <c r="K268" s="483">
        <v>19430</v>
      </c>
      <c r="L268" s="484">
        <f ca="1">NET</f>
        <v>21030</v>
      </c>
      <c r="M268" s="222" t="str">
        <f ca="1">DL</f>
        <v>LAUT</v>
      </c>
      <c r="Q268" s="346"/>
    </row>
    <row r="269" spans="2:17" ht="15">
      <c r="B269" s="477" t="str">
        <f ca="1">SUPPAJA</f>
        <v>MARTONO</v>
      </c>
      <c r="C269" s="338">
        <f ca="1">IF(COUNTIFS($B$3:B269,DATAKBA[[#This Row],[NAMA SUPP]],$E$3:E269,DATAKBA[[#This Row],[TANGGAL]])&lt;&gt;1,0,1)</f>
        <v>0</v>
      </c>
      <c r="D269" s="222">
        <f t="shared" si="20"/>
        <v>11</v>
      </c>
      <c r="E269" s="478">
        <v>43864</v>
      </c>
      <c r="F269" s="479" t="str">
        <f ca="1">DOC</f>
        <v/>
      </c>
      <c r="G269" s="480" t="s">
        <v>327</v>
      </c>
      <c r="H269" s="481" t="s">
        <v>257</v>
      </c>
      <c r="I269" s="482">
        <v>5</v>
      </c>
      <c r="J269" s="483">
        <v>40900</v>
      </c>
      <c r="K269" s="483">
        <v>19430</v>
      </c>
      <c r="L269" s="484">
        <f ca="1">NET</f>
        <v>21470</v>
      </c>
      <c r="M269" s="222" t="str">
        <f ca="1">DL</f>
        <v>LAUT</v>
      </c>
      <c r="Q269" s="346"/>
    </row>
    <row r="270" spans="2:17" ht="15">
      <c r="B270" s="477" t="str">
        <f ca="1">SUPPAJA</f>
        <v>MARTONO</v>
      </c>
      <c r="C270" s="338">
        <f ca="1">IF(COUNTIFS($B$3:B270,DATAKBA[[#This Row],[NAMA SUPP]],$E$3:E270,DATAKBA[[#This Row],[TANGGAL]])&lt;&gt;1,0,1)</f>
        <v>0</v>
      </c>
      <c r="D270" s="222">
        <f t="shared" si="20"/>
        <v>12</v>
      </c>
      <c r="E270" s="478">
        <v>43864</v>
      </c>
      <c r="F270" s="479" t="str">
        <f ca="1">DOC</f>
        <v/>
      </c>
      <c r="G270" s="480" t="s">
        <v>273</v>
      </c>
      <c r="H270" s="481" t="s">
        <v>257</v>
      </c>
      <c r="I270" s="482">
        <v>3</v>
      </c>
      <c r="J270" s="483">
        <v>22290</v>
      </c>
      <c r="K270" s="483">
        <v>11790</v>
      </c>
      <c r="L270" s="484">
        <f ca="1">NET</f>
        <v>10500</v>
      </c>
      <c r="M270" s="222" t="str">
        <f ca="1">DL</f>
        <v>LAUT</v>
      </c>
      <c r="Q270" s="346"/>
    </row>
    <row r="271" spans="2:17" ht="15">
      <c r="B271" s="477" t="str">
        <f ca="1">SUPPAJA</f>
        <v>MARTONO</v>
      </c>
      <c r="C271" s="338">
        <f ca="1">IF(COUNTIFS($B$3:B271,DATAKBA[[#This Row],[NAMA SUPP]],$E$3:E271,DATAKBA[[#This Row],[TANGGAL]])&lt;&gt;1,0,1)</f>
        <v>0</v>
      </c>
      <c r="D271" s="222">
        <f t="shared" si="20"/>
        <v>13</v>
      </c>
      <c r="E271" s="478">
        <v>43864</v>
      </c>
      <c r="F271" s="479" t="str">
        <f ca="1">DOC</f>
        <v/>
      </c>
      <c r="G271" s="480" t="s">
        <v>258</v>
      </c>
      <c r="H271" s="481" t="s">
        <v>257</v>
      </c>
      <c r="I271" s="482">
        <v>1</v>
      </c>
      <c r="J271" s="483">
        <v>7540</v>
      </c>
      <c r="K271" s="483">
        <v>3890</v>
      </c>
      <c r="L271" s="484">
        <f ca="1">NET</f>
        <v>3650</v>
      </c>
      <c r="M271" s="222" t="str">
        <f ca="1">DL</f>
        <v>LAUT</v>
      </c>
      <c r="Q271" s="346"/>
    </row>
    <row r="272" spans="2:17" ht="15">
      <c r="B272" s="477" t="str">
        <f ca="1">SUPPAJA</f>
        <v>MASRI</v>
      </c>
      <c r="C272" s="338">
        <f ca="1">IF(COUNTIFS($B$3:B272,DATAKBA[[#This Row],[NAMA SUPP]],$E$3:E272,DATAKBA[[#This Row],[TANGGAL]])&lt;&gt;1,0,1)</f>
        <v>1</v>
      </c>
      <c r="D272" s="222">
        <f t="shared" si="20"/>
        <v>14</v>
      </c>
      <c r="E272" s="478">
        <v>43864</v>
      </c>
      <c r="F272" s="479" t="str">
        <f ca="1">DOC</f>
        <v>016</v>
      </c>
      <c r="G272" s="480" t="s">
        <v>393</v>
      </c>
      <c r="H272" s="481" t="s">
        <v>260</v>
      </c>
      <c r="I272" s="482">
        <v>21</v>
      </c>
      <c r="J272" s="483">
        <v>186270</v>
      </c>
      <c r="K272" s="483">
        <v>81880</v>
      </c>
      <c r="L272" s="484">
        <f ca="1">NET</f>
        <v>104390</v>
      </c>
      <c r="M272" s="222" t="str">
        <f ca="1">DL</f>
        <v>LAUT</v>
      </c>
      <c r="Q272" s="346"/>
    </row>
    <row r="273" spans="2:17" ht="15">
      <c r="B273" s="477" t="str">
        <f ca="1">SUPPAJA</f>
        <v>MASRI</v>
      </c>
      <c r="C273" s="338">
        <f ca="1">IF(COUNTIFS($B$3:B273,DATAKBA[[#This Row],[NAMA SUPP]],$E$3:E273,DATAKBA[[#This Row],[TANGGAL]])&lt;&gt;1,0,1)</f>
        <v>0</v>
      </c>
      <c r="D273" s="222">
        <f t="shared" si="20"/>
        <v>15</v>
      </c>
      <c r="E273" s="478">
        <v>43864</v>
      </c>
      <c r="F273" s="479" t="str">
        <f ca="1">DOC</f>
        <v/>
      </c>
      <c r="G273" s="480" t="s">
        <v>336</v>
      </c>
      <c r="H273" s="481" t="s">
        <v>260</v>
      </c>
      <c r="I273" s="482">
        <v>10</v>
      </c>
      <c r="J273" s="483">
        <v>85410</v>
      </c>
      <c r="K273" s="483">
        <v>38750</v>
      </c>
      <c r="L273" s="484">
        <f ca="1">NET</f>
        <v>46660</v>
      </c>
      <c r="M273" s="222" t="str">
        <f ca="1">DL</f>
        <v>LAUT</v>
      </c>
      <c r="Q273" s="346"/>
    </row>
    <row r="274" spans="2:17" ht="15">
      <c r="B274" s="477" t="str">
        <f ca="1">SUPPAJA</f>
        <v>MUHAMMAD ARAB</v>
      </c>
      <c r="C274" s="338">
        <f ca="1">IF(COUNTIFS($B$3:B274,DATAKBA[[#This Row],[NAMA SUPP]],$E$3:E274,DATAKBA[[#This Row],[TANGGAL]])&lt;&gt;1,0,1)</f>
        <v>1</v>
      </c>
      <c r="D274" s="222">
        <f t="shared" si="20"/>
        <v>16</v>
      </c>
      <c r="E274" s="478">
        <v>43864</v>
      </c>
      <c r="F274" s="479" t="str">
        <f ca="1">DOC</f>
        <v>002</v>
      </c>
      <c r="G274" s="480" t="s">
        <v>329</v>
      </c>
      <c r="H274" s="481" t="s">
        <v>330</v>
      </c>
      <c r="I274" s="482">
        <v>4</v>
      </c>
      <c r="J274" s="483">
        <v>35360</v>
      </c>
      <c r="K274" s="483">
        <v>15560</v>
      </c>
      <c r="L274" s="484">
        <f ca="1">NET</f>
        <v>19800</v>
      </c>
      <c r="M274" s="222" t="str">
        <f ca="1">DL</f>
        <v>LAUT</v>
      </c>
      <c r="Q274" s="346"/>
    </row>
    <row r="275" spans="2:17" ht="15">
      <c r="B275" s="477" t="str">
        <f ca="1">SUPPAJA</f>
        <v>PT.SINAR KELAPA TEMBILAHAN</v>
      </c>
      <c r="C275" s="338">
        <f ca="1">IF(COUNTIFS($B$3:B275,DATAKBA[[#This Row],[NAMA SUPP]],$E$3:E275,DATAKBA[[#This Row],[TANGGAL]])&lt;&gt;1,0,1)</f>
        <v>1</v>
      </c>
      <c r="D275" s="222">
        <f t="shared" si="20"/>
        <v>17</v>
      </c>
      <c r="E275" s="478">
        <v>43864</v>
      </c>
      <c r="F275" s="479" t="str">
        <f ca="1">DOC</f>
        <v>008</v>
      </c>
      <c r="G275" s="480" t="s">
        <v>377</v>
      </c>
      <c r="H275" s="481" t="s">
        <v>262</v>
      </c>
      <c r="I275" s="482">
        <v>2</v>
      </c>
      <c r="J275" s="483">
        <v>15780</v>
      </c>
      <c r="K275" s="483">
        <v>7820</v>
      </c>
      <c r="L275" s="484">
        <f ca="1">NET</f>
        <v>7960</v>
      </c>
      <c r="M275" s="222" t="str">
        <f ca="1">DL</f>
        <v>LAUT</v>
      </c>
      <c r="Q275" s="346"/>
    </row>
    <row r="276" spans="2:17" ht="15">
      <c r="B276" s="477" t="str">
        <f ca="1">SUPPAJA</f>
        <v>PT.SINAR KELAPA TEMBILAHAN</v>
      </c>
      <c r="C276" s="338">
        <f ca="1">IF(COUNTIFS($B$3:B276,DATAKBA[[#This Row],[NAMA SUPP]],$E$3:E276,DATAKBA[[#This Row],[TANGGAL]])&lt;&gt;1,0,1)</f>
        <v>0</v>
      </c>
      <c r="D276" s="222">
        <f t="shared" si="20"/>
        <v>18</v>
      </c>
      <c r="E276" s="478">
        <v>43864</v>
      </c>
      <c r="F276" s="479" t="str">
        <f ca="1">DOC</f>
        <v/>
      </c>
      <c r="G276" s="480" t="s">
        <v>380</v>
      </c>
      <c r="H276" s="481" t="s">
        <v>262</v>
      </c>
      <c r="I276" s="482">
        <v>2</v>
      </c>
      <c r="J276" s="483">
        <v>15040</v>
      </c>
      <c r="K276" s="483">
        <v>7730</v>
      </c>
      <c r="L276" s="484">
        <f ca="1">NET</f>
        <v>7310</v>
      </c>
      <c r="M276" s="222" t="str">
        <f ca="1">DL</f>
        <v>LAUT</v>
      </c>
      <c r="Q276" s="346"/>
    </row>
    <row r="277" spans="2:17" ht="15">
      <c r="B277" s="477" t="str">
        <f ca="1">SUPPAJA</f>
        <v>PT.SINAR KELAPA TEMBILAHAN</v>
      </c>
      <c r="C277" s="338">
        <f ca="1">IF(COUNTIFS($B$3:B277,DATAKBA[[#This Row],[NAMA SUPP]],$E$3:E277,DATAKBA[[#This Row],[TANGGAL]])&lt;&gt;1,0,1)</f>
        <v>0</v>
      </c>
      <c r="D277" s="222">
        <f t="shared" si="20"/>
        <v>19</v>
      </c>
      <c r="E277" s="478">
        <v>43864</v>
      </c>
      <c r="F277" s="479" t="str">
        <f ca="1">DOC</f>
        <v/>
      </c>
      <c r="G277" s="480" t="s">
        <v>381</v>
      </c>
      <c r="H277" s="481" t="s">
        <v>262</v>
      </c>
      <c r="I277" s="482">
        <v>2</v>
      </c>
      <c r="J277" s="483">
        <v>13850</v>
      </c>
      <c r="K277" s="483">
        <v>7880</v>
      </c>
      <c r="L277" s="484">
        <f ca="1">NET</f>
        <v>5970</v>
      </c>
      <c r="M277" s="222" t="str">
        <f ca="1">DL</f>
        <v>LAUT</v>
      </c>
      <c r="Q277" s="346"/>
    </row>
    <row r="278" spans="2:17" ht="15">
      <c r="B278" s="477" t="str">
        <f ca="1">SUPPAJA</f>
        <v>PT.SINAR KELAPA TEMBILAHAN</v>
      </c>
      <c r="C278" s="338">
        <f ca="1">IF(COUNTIFS($B$3:B278,DATAKBA[[#This Row],[NAMA SUPP]],$E$3:E278,DATAKBA[[#This Row],[TANGGAL]])&lt;&gt;1,0,1)</f>
        <v>0</v>
      </c>
      <c r="D278" s="222">
        <f t="shared" si="20"/>
        <v>20</v>
      </c>
      <c r="E278" s="478">
        <v>43864</v>
      </c>
      <c r="F278" s="479" t="str">
        <f ca="1">DOC</f>
        <v/>
      </c>
      <c r="G278" s="480" t="s">
        <v>394</v>
      </c>
      <c r="H278" s="481" t="s">
        <v>262</v>
      </c>
      <c r="I278" s="482">
        <v>2</v>
      </c>
      <c r="J278" s="483">
        <v>13570</v>
      </c>
      <c r="K278" s="483">
        <v>7790</v>
      </c>
      <c r="L278" s="484">
        <f ca="1">NET</f>
        <v>5780</v>
      </c>
      <c r="M278" s="222" t="str">
        <f ca="1">DL</f>
        <v>LAUT</v>
      </c>
      <c r="Q278" s="346"/>
    </row>
    <row r="279" spans="2:17" ht="15">
      <c r="B279" s="477" t="str">
        <f ca="1">SUPPAJA</f>
        <v>PT.SINAR KELAPA TEMBILAHAN</v>
      </c>
      <c r="C279" s="338">
        <f ca="1">IF(COUNTIFS($B$3:B279,DATAKBA[[#This Row],[NAMA SUPP]],$E$3:E279,DATAKBA[[#This Row],[TANGGAL]])&lt;&gt;1,0,1)</f>
        <v>0</v>
      </c>
      <c r="D279" s="222">
        <f t="shared" si="20"/>
        <v>21</v>
      </c>
      <c r="E279" s="478">
        <v>43864</v>
      </c>
      <c r="F279" s="479" t="str">
        <f ca="1">DOC</f>
        <v/>
      </c>
      <c r="G279" s="480" t="s">
        <v>362</v>
      </c>
      <c r="H279" s="481" t="s">
        <v>262</v>
      </c>
      <c r="I279" s="482">
        <v>2</v>
      </c>
      <c r="J279" s="483">
        <v>18100</v>
      </c>
      <c r="K279" s="483">
        <v>7750</v>
      </c>
      <c r="L279" s="484">
        <f ca="1">NET</f>
        <v>10350</v>
      </c>
      <c r="M279" s="222" t="str">
        <f ca="1">DL</f>
        <v>LAUT</v>
      </c>
      <c r="Q279" s="346"/>
    </row>
    <row r="280" spans="2:17" ht="15">
      <c r="B280" s="477" t="str">
        <f ca="1">SUPPAJA</f>
        <v>PT.SINAR KELAPA TEMBILAHAN</v>
      </c>
      <c r="C280" s="338">
        <f ca="1">IF(COUNTIFS($B$3:B280,DATAKBA[[#This Row],[NAMA SUPP]],$E$3:E280,DATAKBA[[#This Row],[TANGGAL]])&lt;&gt;1,0,1)</f>
        <v>0</v>
      </c>
      <c r="D280" s="222">
        <f t="shared" si="20"/>
        <v>22</v>
      </c>
      <c r="E280" s="478">
        <v>43864</v>
      </c>
      <c r="F280" s="479" t="str">
        <f ca="1">DOC</f>
        <v/>
      </c>
      <c r="G280" s="480" t="s">
        <v>390</v>
      </c>
      <c r="H280" s="481" t="s">
        <v>262</v>
      </c>
      <c r="I280" s="482">
        <v>2</v>
      </c>
      <c r="J280" s="483">
        <v>14470</v>
      </c>
      <c r="K280" s="483">
        <v>7690</v>
      </c>
      <c r="L280" s="484">
        <f ca="1">NET</f>
        <v>6780</v>
      </c>
      <c r="M280" s="222" t="str">
        <f ca="1">DL</f>
        <v>LAUT</v>
      </c>
      <c r="Q280" s="346"/>
    </row>
    <row r="281" spans="2:17" ht="15">
      <c r="B281" s="477" t="str">
        <f ca="1">SUPPAJA</f>
        <v>SUKAMTO</v>
      </c>
      <c r="C281" s="338">
        <f ca="1">IF(COUNTIFS($B$3:B281,DATAKBA[[#This Row],[NAMA SUPP]],$E$3:E281,DATAKBA[[#This Row],[TANGGAL]])&lt;&gt;1,0,1)</f>
        <v>1</v>
      </c>
      <c r="D281" s="222">
        <f t="shared" si="20"/>
        <v>23</v>
      </c>
      <c r="E281" s="478">
        <v>43864</v>
      </c>
      <c r="F281" s="479" t="str">
        <f ca="1">DOC</f>
        <v>008</v>
      </c>
      <c r="G281" s="480" t="s">
        <v>395</v>
      </c>
      <c r="H281" s="481" t="s">
        <v>275</v>
      </c>
      <c r="I281" s="482">
        <v>1</v>
      </c>
      <c r="J281" s="483">
        <v>8500</v>
      </c>
      <c r="K281" s="483">
        <v>3940</v>
      </c>
      <c r="L281" s="484">
        <f ca="1">NET</f>
        <v>4560</v>
      </c>
      <c r="M281" s="222" t="str">
        <f ca="1">DL</f>
        <v>LAUT</v>
      </c>
      <c r="Q281" s="346"/>
    </row>
    <row r="282" spans="2:17" ht="15">
      <c r="B282" s="477" t="str">
        <f ca="1">SUPPAJA</f>
        <v>ZAINAL ABIDIN</v>
      </c>
      <c r="C282" s="338">
        <f ca="1">IF(COUNTIFS($B$3:B282,DATAKBA[[#This Row],[NAMA SUPP]],$E$3:E282,DATAKBA[[#This Row],[TANGGAL]])&lt;&gt;1,0,1)</f>
        <v>1</v>
      </c>
      <c r="D282" s="222">
        <f t="shared" si="20"/>
        <v>24</v>
      </c>
      <c r="E282" s="478">
        <v>43864</v>
      </c>
      <c r="F282" s="485" t="str">
        <f ca="1">DOC</f>
        <v>003</v>
      </c>
      <c r="G282" s="486" t="s">
        <v>396</v>
      </c>
      <c r="H282" s="487" t="s">
        <v>275</v>
      </c>
      <c r="I282" s="488">
        <v>4</v>
      </c>
      <c r="J282" s="483">
        <v>30260</v>
      </c>
      <c r="K282" s="483">
        <v>15560</v>
      </c>
      <c r="L282" s="484">
        <f ca="1">NET</f>
        <v>14700</v>
      </c>
      <c r="M282" s="222" t="str">
        <f ca="1">DL</f>
        <v>LAUT</v>
      </c>
      <c r="Q282" s="346"/>
    </row>
    <row r="283" spans="2:17" ht="15">
      <c r="B283" s="477" t="str">
        <f ca="1">SUPPAJA</f>
        <v>ERAWATI</v>
      </c>
      <c r="C283" s="338">
        <f ca="1">IF(COUNTIFS($B$3:B283,DATAKBA[[#This Row],[NAMA SUPP]],$E$3:E283,DATAKBA[[#This Row],[TANGGAL]])&lt;&gt;1,0,1)</f>
        <v>1</v>
      </c>
      <c r="D283" s="222">
        <f t="shared" ref="D283:D296" si="21">COUNTER_RUDI</f>
        <v>1</v>
      </c>
      <c r="E283" s="478">
        <v>43865</v>
      </c>
      <c r="F283" s="479" t="str">
        <f ca="1">DOC</f>
        <v>025</v>
      </c>
      <c r="G283" s="480" t="s">
        <v>220</v>
      </c>
      <c r="H283" s="481" t="s">
        <v>253</v>
      </c>
      <c r="I283" s="482">
        <v>4</v>
      </c>
      <c r="J283" s="483">
        <v>28880</v>
      </c>
      <c r="K283" s="483">
        <v>11790</v>
      </c>
      <c r="L283" s="484">
        <f ca="1">NET</f>
        <v>17090</v>
      </c>
      <c r="M283" s="222" t="str">
        <f ca="1">DL</f>
        <v>DARAT</v>
      </c>
      <c r="Q283" s="346"/>
    </row>
    <row r="284" spans="2:17" ht="15">
      <c r="B284" s="477" t="str">
        <f ca="1">SUPPAJA</f>
        <v>INDRAYANI</v>
      </c>
      <c r="C284" s="338">
        <f ca="1">IF(COUNTIFS($B$3:B284,DATAKBA[[#This Row],[NAMA SUPP]],$E$3:E284,DATAKBA[[#This Row],[TANGGAL]])&lt;&gt;1,0,1)</f>
        <v>1</v>
      </c>
      <c r="D284" s="222">
        <f t="shared" si="21"/>
        <v>2</v>
      </c>
      <c r="E284" s="478">
        <v>43865</v>
      </c>
      <c r="F284" s="479" t="str">
        <f ca="1">DOC</f>
        <v>023</v>
      </c>
      <c r="G284" s="480" t="s">
        <v>99</v>
      </c>
      <c r="H284" s="481" t="s">
        <v>253</v>
      </c>
      <c r="I284" s="482">
        <v>2</v>
      </c>
      <c r="J284" s="483">
        <v>23240</v>
      </c>
      <c r="K284" s="483">
        <v>9840</v>
      </c>
      <c r="L284" s="484">
        <f ca="1">NET</f>
        <v>13400</v>
      </c>
      <c r="M284" s="222" t="str">
        <f ca="1">DL</f>
        <v>DARAT</v>
      </c>
      <c r="Q284" s="346"/>
    </row>
    <row r="285" spans="2:17" ht="15">
      <c r="B285" s="477" t="str">
        <f ca="1">SUPPAJA</f>
        <v>RUSLAN JAYA, SH</v>
      </c>
      <c r="C285" s="338">
        <f ca="1">IF(COUNTIFS($B$3:B285,DATAKBA[[#This Row],[NAMA SUPP]],$E$3:E285,DATAKBA[[#This Row],[TANGGAL]])&lt;&gt;1,0,1)</f>
        <v>1</v>
      </c>
      <c r="D285" s="222">
        <f t="shared" si="21"/>
        <v>3</v>
      </c>
      <c r="E285" s="478">
        <v>43865</v>
      </c>
      <c r="F285" s="479" t="str">
        <f ca="1">DOC</f>
        <v>012</v>
      </c>
      <c r="G285" s="480" t="s">
        <v>230</v>
      </c>
      <c r="H285" s="481" t="s">
        <v>255</v>
      </c>
      <c r="I285" s="482">
        <v>2</v>
      </c>
      <c r="J285" s="483">
        <v>24710</v>
      </c>
      <c r="K285" s="483">
        <v>13330</v>
      </c>
      <c r="L285" s="484">
        <f ca="1">NET</f>
        <v>11380</v>
      </c>
      <c r="M285" s="222" t="str">
        <f ca="1">DL</f>
        <v>DARAT</v>
      </c>
      <c r="Q285" s="346"/>
    </row>
    <row r="286" spans="2:17" ht="15">
      <c r="B286" s="477" t="str">
        <f ca="1">SUPPAJA</f>
        <v>SAIRI</v>
      </c>
      <c r="C286" s="338">
        <f ca="1">IF(COUNTIFS($B$3:B286,DATAKBA[[#This Row],[NAMA SUPP]],$E$3:E286,DATAKBA[[#This Row],[TANGGAL]])&lt;&gt;1,0,1)</f>
        <v>1</v>
      </c>
      <c r="D286" s="222">
        <f t="shared" si="21"/>
        <v>4</v>
      </c>
      <c r="E286" s="478">
        <v>43865</v>
      </c>
      <c r="F286" s="485" t="str">
        <f ca="1">DOC</f>
        <v>018</v>
      </c>
      <c r="G286" s="486" t="s">
        <v>78</v>
      </c>
      <c r="H286" s="487" t="s">
        <v>267</v>
      </c>
      <c r="I286" s="488">
        <v>1</v>
      </c>
      <c r="J286" s="483">
        <v>3010</v>
      </c>
      <c r="K286" s="483">
        <v>1590</v>
      </c>
      <c r="L286" s="484">
        <f ca="1">NET</f>
        <v>1420</v>
      </c>
      <c r="M286" s="222" t="str">
        <f ca="1">DL</f>
        <v>DARAT</v>
      </c>
      <c r="Q286" s="346"/>
    </row>
    <row r="287" spans="2:17" ht="15">
      <c r="B287" s="477" t="str">
        <f ca="1">SUPPAJA</f>
        <v>AMIR</v>
      </c>
      <c r="C287" s="338">
        <f ca="1">IF(COUNTIFS($B$3:B287,DATAKBA[[#This Row],[NAMA SUPP]],$E$3:E287,DATAKBA[[#This Row],[TANGGAL]])&lt;&gt;1,0,1)</f>
        <v>1</v>
      </c>
      <c r="D287" s="222">
        <f t="shared" si="21"/>
        <v>5</v>
      </c>
      <c r="E287" s="478">
        <v>43865</v>
      </c>
      <c r="F287" s="479" t="str">
        <f ca="1">DOC</f>
        <v>004</v>
      </c>
      <c r="G287" s="480" t="s">
        <v>397</v>
      </c>
      <c r="H287" s="481" t="s">
        <v>340</v>
      </c>
      <c r="I287" s="482">
        <v>2</v>
      </c>
      <c r="J287" s="483">
        <v>16310</v>
      </c>
      <c r="K287" s="483">
        <v>7710</v>
      </c>
      <c r="L287" s="484">
        <f ca="1">NET</f>
        <v>8600</v>
      </c>
      <c r="M287" s="222" t="str">
        <f ca="1">DL</f>
        <v>LAUT</v>
      </c>
      <c r="Q287" s="346"/>
    </row>
    <row r="288" spans="2:17" ht="15">
      <c r="B288" s="477" t="str">
        <f ca="1">SUPPAJA</f>
        <v>DINI CHAIRANI</v>
      </c>
      <c r="C288" s="338">
        <f ca="1">IF(COUNTIFS($B$3:B288,DATAKBA[[#This Row],[NAMA SUPP]],$E$3:E288,DATAKBA[[#This Row],[TANGGAL]])&lt;&gt;1,0,1)</f>
        <v>1</v>
      </c>
      <c r="D288" s="222">
        <f t="shared" si="21"/>
        <v>6</v>
      </c>
      <c r="E288" s="478">
        <v>43865</v>
      </c>
      <c r="F288" s="479" t="str">
        <f ca="1">DOC</f>
        <v>018</v>
      </c>
      <c r="G288" s="480" t="s">
        <v>228</v>
      </c>
      <c r="H288" s="481" t="s">
        <v>268</v>
      </c>
      <c r="I288" s="482">
        <v>2</v>
      </c>
      <c r="J288" s="483">
        <v>15290</v>
      </c>
      <c r="K288" s="483">
        <v>7820</v>
      </c>
      <c r="L288" s="484">
        <f ca="1">NET</f>
        <v>7470</v>
      </c>
      <c r="M288" s="222" t="str">
        <f ca="1">DL</f>
        <v>LAUT</v>
      </c>
      <c r="Q288" s="346"/>
    </row>
    <row r="289" spans="2:17" ht="15">
      <c r="B289" s="477" t="str">
        <f ca="1">SUPPAJA</f>
        <v>DINI CHAIRANI</v>
      </c>
      <c r="C289" s="338">
        <f ca="1">IF(COUNTIFS($B$3:B289,DATAKBA[[#This Row],[NAMA SUPP]],$E$3:E289,DATAKBA[[#This Row],[TANGGAL]])&lt;&gt;1,0,1)</f>
        <v>0</v>
      </c>
      <c r="D289" s="222">
        <f t="shared" si="21"/>
        <v>7</v>
      </c>
      <c r="E289" s="478">
        <v>43865</v>
      </c>
      <c r="F289" s="479" t="str">
        <f ca="1">DOC</f>
        <v/>
      </c>
      <c r="G289" s="480" t="s">
        <v>375</v>
      </c>
      <c r="H289" s="481" t="s">
        <v>268</v>
      </c>
      <c r="I289" s="482">
        <v>3</v>
      </c>
      <c r="J289" s="483">
        <v>22370</v>
      </c>
      <c r="K289" s="483">
        <v>11610</v>
      </c>
      <c r="L289" s="484">
        <f ca="1">NET</f>
        <v>10760</v>
      </c>
      <c r="M289" s="222" t="str">
        <f ca="1">DL</f>
        <v>LAUT</v>
      </c>
      <c r="Q289" s="346"/>
    </row>
    <row r="290" spans="2:17" ht="15">
      <c r="B290" s="477" t="str">
        <f ca="1">SUPPAJA</f>
        <v>HENDRI</v>
      </c>
      <c r="C290" s="338">
        <f ca="1">IF(COUNTIFS($B$3:B290,DATAKBA[[#This Row],[NAMA SUPP]],$E$3:E290,DATAKBA[[#This Row],[TANGGAL]])&lt;&gt;1,0,1)</f>
        <v>1</v>
      </c>
      <c r="D290" s="222">
        <f t="shared" si="21"/>
        <v>8</v>
      </c>
      <c r="E290" s="478">
        <v>43865</v>
      </c>
      <c r="F290" s="479" t="str">
        <f ca="1">DOC</f>
        <v>015</v>
      </c>
      <c r="G290" s="480" t="s">
        <v>332</v>
      </c>
      <c r="H290" s="481" t="s">
        <v>255</v>
      </c>
      <c r="I290" s="482">
        <v>1</v>
      </c>
      <c r="J290" s="483">
        <v>8970</v>
      </c>
      <c r="K290" s="483">
        <v>3780</v>
      </c>
      <c r="L290" s="484">
        <f ca="1">NET</f>
        <v>5190</v>
      </c>
      <c r="M290" s="222" t="str">
        <f ca="1">DL</f>
        <v>LAUT</v>
      </c>
      <c r="Q290" s="346"/>
    </row>
    <row r="291" spans="2:17" ht="15">
      <c r="B291" s="477" t="str">
        <f ca="1">SUPPAJA</f>
        <v>HENDRI</v>
      </c>
      <c r="C291" s="338">
        <f ca="1">IF(COUNTIFS($B$3:B291,DATAKBA[[#This Row],[NAMA SUPP]],$E$3:E291,DATAKBA[[#This Row],[TANGGAL]])&lt;&gt;1,0,1)</f>
        <v>0</v>
      </c>
      <c r="D291" s="222">
        <f t="shared" si="21"/>
        <v>9</v>
      </c>
      <c r="E291" s="478">
        <v>43865</v>
      </c>
      <c r="F291" s="479" t="str">
        <f ca="1">DOC</f>
        <v/>
      </c>
      <c r="G291" s="480" t="s">
        <v>335</v>
      </c>
      <c r="H291" s="481" t="s">
        <v>255</v>
      </c>
      <c r="I291" s="482">
        <v>3</v>
      </c>
      <c r="J291" s="483">
        <v>21550</v>
      </c>
      <c r="K291" s="483">
        <v>11640</v>
      </c>
      <c r="L291" s="484">
        <f ca="1">NET</f>
        <v>9910</v>
      </c>
      <c r="M291" s="222" t="str">
        <f ca="1">DL</f>
        <v>LAUT</v>
      </c>
      <c r="Q291" s="346"/>
    </row>
    <row r="292" spans="2:17" ht="15">
      <c r="B292" s="477" t="str">
        <f ca="1">SUPPAJA</f>
        <v>HENDRY JOHANES</v>
      </c>
      <c r="C292" s="338">
        <f ca="1">IF(COUNTIFS($B$3:B292,DATAKBA[[#This Row],[NAMA SUPP]],$E$3:E292,DATAKBA[[#This Row],[TANGGAL]])&lt;&gt;1,0,1)</f>
        <v>1</v>
      </c>
      <c r="D292" s="222">
        <f t="shared" si="21"/>
        <v>10</v>
      </c>
      <c r="E292" s="478">
        <v>43865</v>
      </c>
      <c r="F292" s="479" t="str">
        <f ca="1">DOC</f>
        <v>002</v>
      </c>
      <c r="G292" s="480" t="s">
        <v>388</v>
      </c>
      <c r="H292" s="481" t="s">
        <v>340</v>
      </c>
      <c r="I292" s="482">
        <v>8</v>
      </c>
      <c r="J292" s="483">
        <v>66860</v>
      </c>
      <c r="K292" s="483">
        <v>31140</v>
      </c>
      <c r="L292" s="484">
        <f ca="1">NET</f>
        <v>35720</v>
      </c>
      <c r="M292" s="222" t="str">
        <f ca="1">DL</f>
        <v>LAUT</v>
      </c>
      <c r="Q292" s="346"/>
    </row>
    <row r="293" spans="2:17" ht="15">
      <c r="B293" s="477" t="str">
        <f ca="1">SUPPAJA</f>
        <v>MARTONO</v>
      </c>
      <c r="C293" s="338">
        <f ca="1">IF(COUNTIFS($B$3:B293,DATAKBA[[#This Row],[NAMA SUPP]],$E$3:E293,DATAKBA[[#This Row],[TANGGAL]])&lt;&gt;1,0,1)</f>
        <v>1</v>
      </c>
      <c r="D293" s="222">
        <f t="shared" si="21"/>
        <v>11</v>
      </c>
      <c r="E293" s="478">
        <v>43865</v>
      </c>
      <c r="F293" s="479" t="str">
        <f ca="1">DOC</f>
        <v>021</v>
      </c>
      <c r="G293" s="480" t="s">
        <v>278</v>
      </c>
      <c r="H293" s="481" t="s">
        <v>257</v>
      </c>
      <c r="I293" s="482">
        <v>1</v>
      </c>
      <c r="J293" s="483">
        <v>5710</v>
      </c>
      <c r="K293" s="483">
        <v>3890</v>
      </c>
      <c r="L293" s="484">
        <f ca="1">NET</f>
        <v>1820</v>
      </c>
      <c r="M293" s="222" t="str">
        <f ca="1">DL</f>
        <v>LAUT</v>
      </c>
      <c r="Q293" s="346"/>
    </row>
    <row r="294" spans="2:17" ht="15">
      <c r="B294" s="477" t="str">
        <f ca="1">SUPPAJA</f>
        <v>MASRI</v>
      </c>
      <c r="C294" s="338">
        <f ca="1">IF(COUNTIFS($B$3:B294,DATAKBA[[#This Row],[NAMA SUPP]],$E$3:E294,DATAKBA[[#This Row],[TANGGAL]])&lt;&gt;1,0,1)</f>
        <v>1</v>
      </c>
      <c r="D294" s="222">
        <f t="shared" si="21"/>
        <v>12</v>
      </c>
      <c r="E294" s="478">
        <v>43865</v>
      </c>
      <c r="F294" s="479" t="str">
        <f ca="1">DOC</f>
        <v>017</v>
      </c>
      <c r="G294" s="480" t="s">
        <v>393</v>
      </c>
      <c r="H294" s="481" t="s">
        <v>260</v>
      </c>
      <c r="I294" s="482">
        <v>2</v>
      </c>
      <c r="J294" s="483">
        <v>17220</v>
      </c>
      <c r="K294" s="483">
        <v>7790</v>
      </c>
      <c r="L294" s="484">
        <f ca="1">NET</f>
        <v>9430</v>
      </c>
      <c r="M294" s="222" t="str">
        <f ca="1">DL</f>
        <v>LAUT</v>
      </c>
      <c r="Q294" s="346"/>
    </row>
    <row r="295" spans="2:17" ht="15">
      <c r="B295" s="477" t="str">
        <f ca="1">SUPPAJA</f>
        <v>PT.SINAR KELAPA TEMBILAHAN</v>
      </c>
      <c r="C295" s="338">
        <f ca="1">IF(COUNTIFS($B$3:B295,DATAKBA[[#This Row],[NAMA SUPP]],$E$3:E295,DATAKBA[[#This Row],[TANGGAL]])&lt;&gt;1,0,1)</f>
        <v>1</v>
      </c>
      <c r="D295" s="222">
        <f t="shared" si="21"/>
        <v>13</v>
      </c>
      <c r="E295" s="478">
        <v>43865</v>
      </c>
      <c r="F295" s="479" t="str">
        <f ca="1">DOC</f>
        <v>009</v>
      </c>
      <c r="G295" s="480" t="s">
        <v>381</v>
      </c>
      <c r="H295" s="481" t="s">
        <v>262</v>
      </c>
      <c r="I295" s="482">
        <v>1</v>
      </c>
      <c r="J295" s="483">
        <v>8560</v>
      </c>
      <c r="K295" s="483">
        <v>3850</v>
      </c>
      <c r="L295" s="484">
        <f ca="1">NET</f>
        <v>4710</v>
      </c>
      <c r="M295" s="222" t="str">
        <f ca="1">DL</f>
        <v>LAUT</v>
      </c>
      <c r="Q295" s="346"/>
    </row>
    <row r="296" spans="2:17" ht="15">
      <c r="B296" s="477" t="str">
        <f ca="1">SUPPAJA</f>
        <v>YANADI</v>
      </c>
      <c r="C296" s="338">
        <f ca="1">IF(COUNTIFS($B$3:B296,DATAKBA[[#This Row],[NAMA SUPP]],$E$3:E296,DATAKBA[[#This Row],[TANGGAL]])&lt;&gt;1,0,1)</f>
        <v>1</v>
      </c>
      <c r="D296" s="222">
        <f t="shared" si="21"/>
        <v>14</v>
      </c>
      <c r="E296" s="478">
        <v>43865</v>
      </c>
      <c r="F296" s="485" t="str">
        <f ca="1">DOC</f>
        <v>014</v>
      </c>
      <c r="G296" s="486" t="s">
        <v>264</v>
      </c>
      <c r="H296" s="487" t="s">
        <v>265</v>
      </c>
      <c r="I296" s="488">
        <v>1</v>
      </c>
      <c r="J296" s="483">
        <v>8080</v>
      </c>
      <c r="K296" s="483">
        <v>3990</v>
      </c>
      <c r="L296" s="484">
        <f ca="1">NET</f>
        <v>4090</v>
      </c>
      <c r="M296" s="222" t="str">
        <f ca="1">DL</f>
        <v>LAUT</v>
      </c>
      <c r="Q296" s="346"/>
    </row>
    <row r="297" spans="2:17" ht="15">
      <c r="B297" s="477" t="str">
        <f ca="1">SUPPAJA</f>
        <v>ERAWATI</v>
      </c>
      <c r="C297" s="338">
        <f ca="1">IF(COUNTIFS($B$3:B297,DATAKBA[[#This Row],[NAMA SUPP]],$E$3:E297,DATAKBA[[#This Row],[TANGGAL]])&lt;&gt;1,0,1)</f>
        <v>1</v>
      </c>
      <c r="D297" s="222">
        <f t="shared" ref="D297:D309" si="22">COUNTER_RUDI</f>
        <v>1</v>
      </c>
      <c r="E297" s="478">
        <v>43866</v>
      </c>
      <c r="F297" s="479" t="str">
        <f ca="1">DOC</f>
        <v>026</v>
      </c>
      <c r="G297" s="480" t="s">
        <v>220</v>
      </c>
      <c r="H297" s="481" t="s">
        <v>253</v>
      </c>
      <c r="I297" s="482">
        <v>7</v>
      </c>
      <c r="J297" s="483">
        <v>39870</v>
      </c>
      <c r="K297" s="483">
        <v>19520</v>
      </c>
      <c r="L297" s="484">
        <f ca="1">NET</f>
        <v>20350</v>
      </c>
      <c r="M297" s="222" t="str">
        <f ca="1">DL</f>
        <v>DARAT</v>
      </c>
      <c r="Q297" s="346"/>
    </row>
    <row r="298" spans="2:17" ht="15">
      <c r="B298" s="477" t="str">
        <f ca="1">SUPPAJA</f>
        <v>INDRAYANI</v>
      </c>
      <c r="C298" s="338">
        <f ca="1">IF(COUNTIFS($B$3:B298,DATAKBA[[#This Row],[NAMA SUPP]],$E$3:E298,DATAKBA[[#This Row],[TANGGAL]])&lt;&gt;1,0,1)</f>
        <v>1</v>
      </c>
      <c r="D298" s="222">
        <f t="shared" si="22"/>
        <v>2</v>
      </c>
      <c r="E298" s="478">
        <v>43866</v>
      </c>
      <c r="F298" s="479" t="str">
        <f ca="1">DOC</f>
        <v>024</v>
      </c>
      <c r="G298" s="480" t="s">
        <v>99</v>
      </c>
      <c r="H298" s="481" t="s">
        <v>253</v>
      </c>
      <c r="I298" s="482">
        <v>4</v>
      </c>
      <c r="J298" s="483">
        <v>43900</v>
      </c>
      <c r="K298" s="483">
        <v>15740</v>
      </c>
      <c r="L298" s="484">
        <f ca="1">NET</f>
        <v>28160</v>
      </c>
      <c r="M298" s="222" t="str">
        <f ca="1">DL</f>
        <v>DARAT</v>
      </c>
      <c r="Q298" s="346"/>
    </row>
    <row r="299" spans="2:17" ht="15">
      <c r="B299" s="477" t="str">
        <f ca="1">SUPPAJA</f>
        <v>RUSLAN JAYA, SH</v>
      </c>
      <c r="C299" s="338">
        <f ca="1">IF(COUNTIFS($B$3:B299,DATAKBA[[#This Row],[NAMA SUPP]],$E$3:E299,DATAKBA[[#This Row],[TANGGAL]])&lt;&gt;1,0,1)</f>
        <v>1</v>
      </c>
      <c r="D299" s="222">
        <f t="shared" si="22"/>
        <v>3</v>
      </c>
      <c r="E299" s="478">
        <v>43866</v>
      </c>
      <c r="F299" s="479" t="str">
        <f ca="1">DOC</f>
        <v>013</v>
      </c>
      <c r="G299" s="480" t="s">
        <v>230</v>
      </c>
      <c r="H299" s="481" t="s">
        <v>255</v>
      </c>
      <c r="I299" s="482">
        <v>3</v>
      </c>
      <c r="J299" s="483">
        <v>27390</v>
      </c>
      <c r="K299" s="483">
        <v>10220</v>
      </c>
      <c r="L299" s="484">
        <f ca="1">NET</f>
        <v>17170</v>
      </c>
      <c r="M299" s="222" t="str">
        <f ca="1">DL</f>
        <v>DARAT</v>
      </c>
      <c r="Q299" s="346"/>
    </row>
    <row r="300" spans="2:17" ht="15">
      <c r="B300" s="477" t="str">
        <f ca="1">SUPPAJA</f>
        <v>SAIRI</v>
      </c>
      <c r="C300" s="338">
        <f ca="1">IF(COUNTIFS($B$3:B300,DATAKBA[[#This Row],[NAMA SUPP]],$E$3:E300,DATAKBA[[#This Row],[TANGGAL]])&lt;&gt;1,0,1)</f>
        <v>1</v>
      </c>
      <c r="D300" s="222">
        <f t="shared" si="22"/>
        <v>4</v>
      </c>
      <c r="E300" s="478">
        <v>43866</v>
      </c>
      <c r="F300" s="479" t="str">
        <f ca="1">DOC</f>
        <v>019</v>
      </c>
      <c r="G300" s="480" t="s">
        <v>78</v>
      </c>
      <c r="H300" s="481" t="s">
        <v>267</v>
      </c>
      <c r="I300" s="482">
        <v>3</v>
      </c>
      <c r="J300" s="483">
        <v>16940</v>
      </c>
      <c r="K300" s="483">
        <v>8390</v>
      </c>
      <c r="L300" s="484">
        <f ca="1">NET</f>
        <v>8550</v>
      </c>
      <c r="M300" s="222" t="str">
        <f ca="1">DL</f>
        <v>DARAT</v>
      </c>
      <c r="Q300" s="346"/>
    </row>
    <row r="301" spans="2:17" ht="15">
      <c r="B301" s="477" t="str">
        <f ca="1">SUPPAJA</f>
        <v>YANADI</v>
      </c>
      <c r="C301" s="338">
        <f ca="1">IF(COUNTIFS($B$3:B301,DATAKBA[[#This Row],[NAMA SUPP]],$E$3:E301,DATAKBA[[#This Row],[TANGGAL]])&lt;&gt;1,0,1)</f>
        <v>1</v>
      </c>
      <c r="D301" s="222">
        <f t="shared" si="22"/>
        <v>5</v>
      </c>
      <c r="E301" s="478">
        <v>43866</v>
      </c>
      <c r="F301" s="485" t="str">
        <f ca="1">DOC</f>
        <v>015</v>
      </c>
      <c r="G301" s="486" t="s">
        <v>137</v>
      </c>
      <c r="H301" s="487" t="s">
        <v>265</v>
      </c>
      <c r="I301" s="488">
        <v>2</v>
      </c>
      <c r="J301" s="483">
        <v>25830</v>
      </c>
      <c r="K301" s="483">
        <v>8280</v>
      </c>
      <c r="L301" s="484">
        <f ca="1">NET</f>
        <v>17550</v>
      </c>
      <c r="M301" s="222" t="str">
        <f ca="1">DL</f>
        <v>DARAT</v>
      </c>
      <c r="Q301" s="346"/>
    </row>
    <row r="302" spans="2:17" ht="15">
      <c r="B302" s="477" t="str">
        <f ca="1">SUPPAJA</f>
        <v>DINI CHAIRANI</v>
      </c>
      <c r="C302" s="338">
        <f ca="1">IF(COUNTIFS($B$3:B302,DATAKBA[[#This Row],[NAMA SUPP]],$E$3:E302,DATAKBA[[#This Row],[TANGGAL]])&lt;&gt;1,0,1)</f>
        <v>1</v>
      </c>
      <c r="D302" s="222">
        <f t="shared" si="22"/>
        <v>6</v>
      </c>
      <c r="E302" s="478">
        <v>43866</v>
      </c>
      <c r="F302" s="479" t="str">
        <f ca="1">DOC</f>
        <v>019</v>
      </c>
      <c r="G302" s="480" t="s">
        <v>269</v>
      </c>
      <c r="H302" s="481" t="s">
        <v>268</v>
      </c>
      <c r="I302" s="482">
        <v>5</v>
      </c>
      <c r="J302" s="483">
        <v>42140</v>
      </c>
      <c r="K302" s="483">
        <v>19550</v>
      </c>
      <c r="L302" s="484">
        <f ca="1">NET</f>
        <v>22590</v>
      </c>
      <c r="M302" s="222" t="str">
        <f ca="1">DL</f>
        <v>LAUT</v>
      </c>
      <c r="Q302" s="346"/>
    </row>
    <row r="303" spans="2:17" ht="15">
      <c r="B303" s="477" t="str">
        <f ca="1">SUPPAJA</f>
        <v>DINI CHAIRANI</v>
      </c>
      <c r="C303" s="338">
        <f ca="1">IF(COUNTIFS($B$3:B303,DATAKBA[[#This Row],[NAMA SUPP]],$E$3:E303,DATAKBA[[#This Row],[TANGGAL]])&lt;&gt;1,0,1)</f>
        <v>0</v>
      </c>
      <c r="D303" s="222">
        <f t="shared" si="22"/>
        <v>7</v>
      </c>
      <c r="E303" s="478">
        <v>43866</v>
      </c>
      <c r="F303" s="479" t="str">
        <f ca="1">DOC</f>
        <v/>
      </c>
      <c r="G303" s="480" t="s">
        <v>334</v>
      </c>
      <c r="H303" s="481" t="s">
        <v>268</v>
      </c>
      <c r="I303" s="482">
        <v>1</v>
      </c>
      <c r="J303" s="483">
        <v>9380</v>
      </c>
      <c r="K303" s="483">
        <v>3890</v>
      </c>
      <c r="L303" s="484">
        <f ca="1">NET</f>
        <v>5490</v>
      </c>
      <c r="M303" s="222" t="str">
        <f ca="1">DL</f>
        <v>LAUT</v>
      </c>
      <c r="Q303" s="346"/>
    </row>
    <row r="304" spans="2:17" ht="15">
      <c r="B304" s="477" t="str">
        <f ca="1">SUPPAJA</f>
        <v>DINI CHAIRANI</v>
      </c>
      <c r="C304" s="338">
        <f ca="1">IF(COUNTIFS($B$3:B304,DATAKBA[[#This Row],[NAMA SUPP]],$E$3:E304,DATAKBA[[#This Row],[TANGGAL]])&lt;&gt;1,0,1)</f>
        <v>0</v>
      </c>
      <c r="D304" s="222">
        <f t="shared" si="22"/>
        <v>8</v>
      </c>
      <c r="E304" s="478">
        <v>43866</v>
      </c>
      <c r="F304" s="479" t="str">
        <f ca="1">DOC</f>
        <v/>
      </c>
      <c r="G304" s="480" t="s">
        <v>371</v>
      </c>
      <c r="H304" s="481" t="s">
        <v>268</v>
      </c>
      <c r="I304" s="482">
        <v>2</v>
      </c>
      <c r="J304" s="483">
        <v>13290</v>
      </c>
      <c r="K304" s="483">
        <v>7630</v>
      </c>
      <c r="L304" s="484">
        <f ca="1">NET</f>
        <v>5660</v>
      </c>
      <c r="M304" s="222" t="str">
        <f ca="1">DL</f>
        <v>LAUT</v>
      </c>
      <c r="Q304" s="346"/>
    </row>
    <row r="305" spans="2:17" ht="15">
      <c r="B305" s="477" t="str">
        <f ca="1">SUPPAJA</f>
        <v>HENDRI</v>
      </c>
      <c r="C305" s="338">
        <f ca="1">IF(COUNTIFS($B$3:B305,DATAKBA[[#This Row],[NAMA SUPP]],$E$3:E305,DATAKBA[[#This Row],[TANGGAL]])&lt;&gt;1,0,1)</f>
        <v>1</v>
      </c>
      <c r="D305" s="222">
        <f t="shared" si="22"/>
        <v>9</v>
      </c>
      <c r="E305" s="478">
        <v>43866</v>
      </c>
      <c r="F305" s="479" t="str">
        <f ca="1">DOC</f>
        <v>016</v>
      </c>
      <c r="G305" s="480" t="s">
        <v>332</v>
      </c>
      <c r="H305" s="481" t="s">
        <v>255</v>
      </c>
      <c r="I305" s="482">
        <v>1</v>
      </c>
      <c r="J305" s="483">
        <v>8930</v>
      </c>
      <c r="K305" s="483">
        <v>3890</v>
      </c>
      <c r="L305" s="484">
        <f ca="1">NET</f>
        <v>5040</v>
      </c>
      <c r="M305" s="222" t="str">
        <f ca="1">DL</f>
        <v>LAUT</v>
      </c>
      <c r="Q305" s="346"/>
    </row>
    <row r="306" spans="2:17" ht="15">
      <c r="B306" s="477" t="str">
        <f ca="1">SUPPAJA</f>
        <v>MARTONO</v>
      </c>
      <c r="C306" s="338">
        <f ca="1">IF(COUNTIFS($B$3:B306,DATAKBA[[#This Row],[NAMA SUPP]],$E$3:E306,DATAKBA[[#This Row],[TANGGAL]])&lt;&gt;1,0,1)</f>
        <v>1</v>
      </c>
      <c r="D306" s="222">
        <f t="shared" si="22"/>
        <v>10</v>
      </c>
      <c r="E306" s="478">
        <v>43866</v>
      </c>
      <c r="F306" s="479" t="str">
        <f ca="1">DOC</f>
        <v>022</v>
      </c>
      <c r="G306" s="480" t="s">
        <v>258</v>
      </c>
      <c r="H306" s="481" t="s">
        <v>257</v>
      </c>
      <c r="I306" s="482">
        <v>1</v>
      </c>
      <c r="J306" s="483">
        <v>7880</v>
      </c>
      <c r="K306" s="483">
        <v>3930</v>
      </c>
      <c r="L306" s="484">
        <f ca="1">NET</f>
        <v>3950</v>
      </c>
      <c r="M306" s="222" t="str">
        <f ca="1">DL</f>
        <v>LAUT</v>
      </c>
      <c r="Q306" s="346"/>
    </row>
    <row r="307" spans="2:17" ht="15">
      <c r="B307" s="477" t="str">
        <f ca="1">SUPPAJA</f>
        <v>PT.SINAR KELAPA TEMBILAHAN</v>
      </c>
      <c r="C307" s="338">
        <f ca="1">IF(COUNTIFS($B$3:B307,DATAKBA[[#This Row],[NAMA SUPP]],$E$3:E307,DATAKBA[[#This Row],[TANGGAL]])&lt;&gt;1,0,1)</f>
        <v>1</v>
      </c>
      <c r="D307" s="222">
        <f t="shared" si="22"/>
        <v>11</v>
      </c>
      <c r="E307" s="478">
        <v>43866</v>
      </c>
      <c r="F307" s="479" t="str">
        <f ca="1">DOC</f>
        <v>010</v>
      </c>
      <c r="G307" s="480" t="s">
        <v>381</v>
      </c>
      <c r="H307" s="481" t="s">
        <v>262</v>
      </c>
      <c r="I307" s="482">
        <v>2</v>
      </c>
      <c r="J307" s="483">
        <v>13480</v>
      </c>
      <c r="K307" s="483">
        <v>7630</v>
      </c>
      <c r="L307" s="484">
        <f ca="1">NET</f>
        <v>5850</v>
      </c>
      <c r="M307" s="222" t="str">
        <f ca="1">DL</f>
        <v>LAUT</v>
      </c>
      <c r="Q307" s="346"/>
    </row>
    <row r="308" spans="2:17" ht="15">
      <c r="B308" s="477" t="str">
        <f ca="1">SUPPAJA</f>
        <v>RITA ERNITA</v>
      </c>
      <c r="C308" s="338">
        <f ca="1">IF(COUNTIFS($B$3:B308,DATAKBA[[#This Row],[NAMA SUPP]],$E$3:E308,DATAKBA[[#This Row],[TANGGAL]])&lt;&gt;1,0,1)</f>
        <v>1</v>
      </c>
      <c r="D308" s="222">
        <f t="shared" si="22"/>
        <v>12</v>
      </c>
      <c r="E308" s="478">
        <v>43866</v>
      </c>
      <c r="F308" s="479" t="str">
        <f ca="1">DOC</f>
        <v>005</v>
      </c>
      <c r="G308" s="480" t="s">
        <v>349</v>
      </c>
      <c r="H308" s="481" t="s">
        <v>263</v>
      </c>
      <c r="I308" s="482">
        <v>6</v>
      </c>
      <c r="J308" s="483">
        <v>50470</v>
      </c>
      <c r="K308" s="483">
        <v>23110</v>
      </c>
      <c r="L308" s="484">
        <f ca="1">NET</f>
        <v>27360</v>
      </c>
      <c r="M308" s="222" t="str">
        <f ca="1">DL</f>
        <v>LAUT</v>
      </c>
      <c r="Q308" s="346"/>
    </row>
    <row r="309" spans="2:17" ht="15">
      <c r="B309" s="477" t="str">
        <f ca="1">SUPPAJA</f>
        <v>SUKAMTO</v>
      </c>
      <c r="C309" s="338">
        <f ca="1">IF(COUNTIFS($B$3:B309,DATAKBA[[#This Row],[NAMA SUPP]],$E$3:E309,DATAKBA[[#This Row],[TANGGAL]])&lt;&gt;1,0,1)</f>
        <v>1</v>
      </c>
      <c r="D309" s="222">
        <f t="shared" si="22"/>
        <v>13</v>
      </c>
      <c r="E309" s="478">
        <v>43866</v>
      </c>
      <c r="F309" s="485" t="str">
        <f ca="1">DOC</f>
        <v>009</v>
      </c>
      <c r="G309" s="486" t="s">
        <v>274</v>
      </c>
      <c r="H309" s="487" t="s">
        <v>275</v>
      </c>
      <c r="I309" s="488">
        <v>1</v>
      </c>
      <c r="J309" s="483">
        <v>8230</v>
      </c>
      <c r="K309" s="483">
        <v>4000</v>
      </c>
      <c r="L309" s="484">
        <f ca="1">NET</f>
        <v>4230</v>
      </c>
      <c r="M309" s="222" t="str">
        <f ca="1">DL</f>
        <v>LAUT</v>
      </c>
      <c r="Q309" s="346"/>
    </row>
    <row r="310" spans="2:17" ht="15">
      <c r="B310" s="477" t="str">
        <f ca="1">SUPPAJA</f>
        <v>ERAWATI</v>
      </c>
      <c r="C310" s="338">
        <f ca="1">IF(COUNTIFS($B$3:B310,DATAKBA[[#This Row],[NAMA SUPP]],$E$3:E310,DATAKBA[[#This Row],[TANGGAL]])&lt;&gt;1,0,1)</f>
        <v>1</v>
      </c>
      <c r="D310" s="222">
        <f t="shared" ref="D310:D322" si="23">COUNTER_RUDI</f>
        <v>1</v>
      </c>
      <c r="E310" s="478">
        <v>43867</v>
      </c>
      <c r="F310" s="479" t="str">
        <f ca="1">DOC</f>
        <v>027</v>
      </c>
      <c r="G310" s="353" t="s">
        <v>220</v>
      </c>
      <c r="H310" s="481" t="s">
        <v>253</v>
      </c>
      <c r="I310" s="482">
        <v>9</v>
      </c>
      <c r="J310" s="483">
        <v>56450</v>
      </c>
      <c r="K310" s="483">
        <v>23280</v>
      </c>
      <c r="L310" s="484">
        <f ca="1">NET</f>
        <v>33170</v>
      </c>
      <c r="M310" s="222" t="str">
        <f ca="1">DL</f>
        <v>DARAT</v>
      </c>
      <c r="Q310" s="346"/>
    </row>
    <row r="311" spans="2:17" ht="15">
      <c r="B311" s="477" t="str">
        <f ca="1">SUPPAJA</f>
        <v>RUSLAN JAYA, SH</v>
      </c>
      <c r="C311" s="338">
        <f ca="1">IF(COUNTIFS($B$3:B311,DATAKBA[[#This Row],[NAMA SUPP]],$E$3:E311,DATAKBA[[#This Row],[TANGGAL]])&lt;&gt;1,0,1)</f>
        <v>1</v>
      </c>
      <c r="D311" s="222">
        <f t="shared" si="23"/>
        <v>2</v>
      </c>
      <c r="E311" s="478">
        <v>43867</v>
      </c>
      <c r="F311" s="479" t="str">
        <f ca="1">DOC</f>
        <v>014</v>
      </c>
      <c r="G311" s="480" t="s">
        <v>230</v>
      </c>
      <c r="H311" s="481" t="s">
        <v>255</v>
      </c>
      <c r="I311" s="482">
        <v>2</v>
      </c>
      <c r="J311" s="483">
        <v>24780</v>
      </c>
      <c r="K311" s="483">
        <v>9270</v>
      </c>
      <c r="L311" s="484">
        <f ca="1">NET</f>
        <v>15510</v>
      </c>
      <c r="M311" s="222" t="str">
        <f ca="1">DL</f>
        <v>DARAT</v>
      </c>
      <c r="Q311" s="346"/>
    </row>
    <row r="312" spans="2:17" ht="15">
      <c r="B312" s="477" t="str">
        <f ca="1">SUPPAJA</f>
        <v>YANADI</v>
      </c>
      <c r="C312" s="338">
        <f ca="1">IF(COUNTIFS($B$3:B312,DATAKBA[[#This Row],[NAMA SUPP]],$E$3:E312,DATAKBA[[#This Row],[TANGGAL]])&lt;&gt;1,0,1)</f>
        <v>1</v>
      </c>
      <c r="D312" s="222">
        <f t="shared" si="23"/>
        <v>3</v>
      </c>
      <c r="E312" s="478">
        <v>43867</v>
      </c>
      <c r="F312" s="485" t="str">
        <f ca="1">DOC</f>
        <v>016</v>
      </c>
      <c r="G312" s="486" t="s">
        <v>137</v>
      </c>
      <c r="H312" s="487" t="s">
        <v>265</v>
      </c>
      <c r="I312" s="488">
        <v>2</v>
      </c>
      <c r="J312" s="483">
        <v>23240</v>
      </c>
      <c r="K312" s="483">
        <v>8740</v>
      </c>
      <c r="L312" s="484">
        <f ca="1">NET</f>
        <v>14500</v>
      </c>
      <c r="M312" s="222" t="str">
        <f ca="1">DL</f>
        <v>DARAT</v>
      </c>
      <c r="Q312" s="346"/>
    </row>
    <row r="313" spans="2:17" ht="15">
      <c r="B313" s="477" t="str">
        <f ca="1">SUPPAJA</f>
        <v>YANADI</v>
      </c>
      <c r="C313" s="338">
        <f ca="1">IF(COUNTIFS($B$3:B313,DATAKBA[[#This Row],[NAMA SUPP]],$E$3:E313,DATAKBA[[#This Row],[TANGGAL]])&lt;&gt;1,0,1)</f>
        <v>0</v>
      </c>
      <c r="D313" s="222">
        <f t="shared" si="23"/>
        <v>4</v>
      </c>
      <c r="E313" s="478">
        <v>43867</v>
      </c>
      <c r="F313" s="479" t="str">
        <f ca="1">DOC</f>
        <v/>
      </c>
      <c r="G313" s="480" t="s">
        <v>331</v>
      </c>
      <c r="H313" s="481" t="s">
        <v>265</v>
      </c>
      <c r="I313" s="482">
        <v>1</v>
      </c>
      <c r="J313" s="483">
        <v>7430</v>
      </c>
      <c r="K313" s="483">
        <v>3920</v>
      </c>
      <c r="L313" s="484">
        <f ca="1">NET</f>
        <v>3510</v>
      </c>
      <c r="M313" s="222" t="str">
        <f ca="1">DL</f>
        <v>LAUT</v>
      </c>
      <c r="Q313" s="346"/>
    </row>
    <row r="314" spans="2:17" ht="15">
      <c r="B314" s="477" t="str">
        <f ca="1">SUPPAJA</f>
        <v>YANADI</v>
      </c>
      <c r="C314" s="338">
        <f ca="1">IF(COUNTIFS($B$3:B314,DATAKBA[[#This Row],[NAMA SUPP]],$E$3:E314,DATAKBA[[#This Row],[TANGGAL]])&lt;&gt;1,0,1)</f>
        <v>0</v>
      </c>
      <c r="D314" s="222">
        <f t="shared" si="23"/>
        <v>5</v>
      </c>
      <c r="E314" s="478">
        <v>43867</v>
      </c>
      <c r="F314" s="485" t="str">
        <f ca="1">DOC</f>
        <v/>
      </c>
      <c r="G314" s="486" t="s">
        <v>281</v>
      </c>
      <c r="H314" s="487" t="s">
        <v>265</v>
      </c>
      <c r="I314" s="488">
        <v>2</v>
      </c>
      <c r="J314" s="483">
        <v>15430</v>
      </c>
      <c r="K314" s="483">
        <v>7810</v>
      </c>
      <c r="L314" s="484">
        <f ca="1">NET</f>
        <v>7620</v>
      </c>
      <c r="M314" s="222" t="str">
        <f ca="1">DL</f>
        <v>LAUT</v>
      </c>
      <c r="Q314" s="346"/>
    </row>
    <row r="315" spans="2:17" ht="15">
      <c r="B315" s="477" t="str">
        <f ca="1">SUPPAJA</f>
        <v>HENDRI</v>
      </c>
      <c r="C315" s="338">
        <f ca="1">IF(COUNTIFS($B$3:B315,DATAKBA[[#This Row],[NAMA SUPP]],$E$3:E315,DATAKBA[[#This Row],[TANGGAL]])&lt;&gt;1,0,1)</f>
        <v>1</v>
      </c>
      <c r="D315" s="222">
        <f t="shared" si="23"/>
        <v>6</v>
      </c>
      <c r="E315" s="478">
        <v>43867</v>
      </c>
      <c r="F315" s="479" t="str">
        <f ca="1">DOC</f>
        <v>017</v>
      </c>
      <c r="G315" s="480" t="s">
        <v>342</v>
      </c>
      <c r="H315" s="481" t="s">
        <v>255</v>
      </c>
      <c r="I315" s="482">
        <v>5</v>
      </c>
      <c r="J315" s="483">
        <v>40850</v>
      </c>
      <c r="K315" s="483">
        <v>19380</v>
      </c>
      <c r="L315" s="484">
        <f ca="1">NET</f>
        <v>21470</v>
      </c>
      <c r="M315" s="222" t="str">
        <f ca="1">DL</f>
        <v>LAUT</v>
      </c>
      <c r="Q315" s="346"/>
    </row>
    <row r="316" spans="2:17" ht="15">
      <c r="B316" s="477" t="str">
        <f ca="1">SUPPAJA</f>
        <v>MARTONO</v>
      </c>
      <c r="C316" s="338">
        <f ca="1">IF(COUNTIFS($B$3:B316,DATAKBA[[#This Row],[NAMA SUPP]],$E$3:E316,DATAKBA[[#This Row],[TANGGAL]])&lt;&gt;1,0,1)</f>
        <v>1</v>
      </c>
      <c r="D316" s="222">
        <f t="shared" si="23"/>
        <v>7</v>
      </c>
      <c r="E316" s="478">
        <v>43867</v>
      </c>
      <c r="F316" s="479" t="str">
        <f ca="1">DOC</f>
        <v>023</v>
      </c>
      <c r="G316" s="480" t="s">
        <v>356</v>
      </c>
      <c r="H316" s="481" t="s">
        <v>257</v>
      </c>
      <c r="I316" s="482">
        <v>1</v>
      </c>
      <c r="J316" s="483">
        <v>8690</v>
      </c>
      <c r="K316" s="483">
        <v>3880</v>
      </c>
      <c r="L316" s="484">
        <f ca="1">NET</f>
        <v>4810</v>
      </c>
      <c r="M316" s="222" t="str">
        <f ca="1">DL</f>
        <v>LAUT</v>
      </c>
      <c r="Q316" s="346"/>
    </row>
    <row r="317" spans="2:17" ht="15">
      <c r="B317" s="477" t="str">
        <f ca="1">SUPPAJA</f>
        <v>MARTONO</v>
      </c>
      <c r="C317" s="338">
        <f ca="1">IF(COUNTIFS($B$3:B317,DATAKBA[[#This Row],[NAMA SUPP]],$E$3:E317,DATAKBA[[#This Row],[TANGGAL]])&lt;&gt;1,0,1)</f>
        <v>0</v>
      </c>
      <c r="D317" s="222">
        <f t="shared" si="23"/>
        <v>8</v>
      </c>
      <c r="E317" s="478">
        <v>43867</v>
      </c>
      <c r="F317" s="479" t="str">
        <f ca="1">DOC</f>
        <v/>
      </c>
      <c r="G317" s="480" t="s">
        <v>279</v>
      </c>
      <c r="H317" s="481" t="s">
        <v>257</v>
      </c>
      <c r="I317" s="482">
        <v>2</v>
      </c>
      <c r="J317" s="483">
        <v>15400</v>
      </c>
      <c r="K317" s="483">
        <v>7680</v>
      </c>
      <c r="L317" s="484">
        <f ca="1">NET</f>
        <v>7720</v>
      </c>
      <c r="M317" s="222" t="str">
        <f ca="1">DL</f>
        <v>LAUT</v>
      </c>
      <c r="Q317" s="346"/>
    </row>
    <row r="318" spans="2:17" ht="15">
      <c r="B318" s="477" t="str">
        <f ca="1">SUPPAJA</f>
        <v>MASRI</v>
      </c>
      <c r="C318" s="338">
        <f ca="1">IF(COUNTIFS($B$3:B318,DATAKBA[[#This Row],[NAMA SUPP]],$E$3:E318,DATAKBA[[#This Row],[TANGGAL]])&lt;&gt;1,0,1)</f>
        <v>1</v>
      </c>
      <c r="D318" s="222">
        <f t="shared" si="23"/>
        <v>9</v>
      </c>
      <c r="E318" s="478">
        <v>43867</v>
      </c>
      <c r="F318" s="479" t="str">
        <f ca="1">DOC</f>
        <v>018</v>
      </c>
      <c r="G318" s="480" t="s">
        <v>345</v>
      </c>
      <c r="H318" s="481" t="s">
        <v>260</v>
      </c>
      <c r="I318" s="482">
        <v>8</v>
      </c>
      <c r="J318" s="483">
        <v>68150</v>
      </c>
      <c r="K318" s="483">
        <v>31270</v>
      </c>
      <c r="L318" s="484">
        <f ca="1">NET</f>
        <v>36880</v>
      </c>
      <c r="M318" s="222" t="str">
        <f ca="1">DL</f>
        <v>LAUT</v>
      </c>
      <c r="Q318" s="346"/>
    </row>
    <row r="319" spans="2:17" ht="15">
      <c r="B319" s="477" t="str">
        <f ca="1">SUPPAJA</f>
        <v>PT.SINAR KELAPA TEMBILAHAN</v>
      </c>
      <c r="C319" s="338">
        <f ca="1">IF(COUNTIFS($B$3:B319,DATAKBA[[#This Row],[NAMA SUPP]],$E$3:E319,DATAKBA[[#This Row],[TANGGAL]])&lt;&gt;1,0,1)</f>
        <v>1</v>
      </c>
      <c r="D319" s="222">
        <f t="shared" si="23"/>
        <v>10</v>
      </c>
      <c r="E319" s="478">
        <v>43867</v>
      </c>
      <c r="F319" s="479" t="str">
        <f ca="1">DOC</f>
        <v>011</v>
      </c>
      <c r="G319" s="480" t="s">
        <v>365</v>
      </c>
      <c r="H319" s="481" t="s">
        <v>262</v>
      </c>
      <c r="I319" s="482">
        <v>4</v>
      </c>
      <c r="J319" s="483">
        <v>34260</v>
      </c>
      <c r="K319" s="483">
        <v>15520</v>
      </c>
      <c r="L319" s="484">
        <f ca="1">NET</f>
        <v>18740</v>
      </c>
      <c r="M319" s="222" t="str">
        <f ca="1">DL</f>
        <v>LAUT</v>
      </c>
      <c r="Q319" s="346"/>
    </row>
    <row r="320" spans="2:17" ht="15">
      <c r="B320" s="477" t="str">
        <f ca="1">SUPPAJA</f>
        <v>PT.SINAR KELAPA TEMBILAHAN</v>
      </c>
      <c r="C320" s="338">
        <f ca="1">IF(COUNTIFS($B$3:B320,DATAKBA[[#This Row],[NAMA SUPP]],$E$3:E320,DATAKBA[[#This Row],[TANGGAL]])&lt;&gt;1,0,1)</f>
        <v>0</v>
      </c>
      <c r="D320" s="222">
        <f t="shared" si="23"/>
        <v>11</v>
      </c>
      <c r="E320" s="478">
        <v>43867</v>
      </c>
      <c r="F320" s="479" t="str">
        <f ca="1">DOC</f>
        <v/>
      </c>
      <c r="G320" s="480" t="s">
        <v>377</v>
      </c>
      <c r="H320" s="481" t="s">
        <v>262</v>
      </c>
      <c r="I320" s="482">
        <v>1</v>
      </c>
      <c r="J320" s="483">
        <v>9360</v>
      </c>
      <c r="K320" s="483">
        <v>3880</v>
      </c>
      <c r="L320" s="484">
        <f ca="1">NET</f>
        <v>5480</v>
      </c>
      <c r="M320" s="222" t="str">
        <f ca="1">DL</f>
        <v>LAUT</v>
      </c>
      <c r="Q320" s="346"/>
    </row>
    <row r="321" spans="2:17" ht="15">
      <c r="B321" s="477" t="str">
        <f ca="1">SUPPAJA</f>
        <v>PT.SINAR KELAPA TEMBILAHAN</v>
      </c>
      <c r="C321" s="338">
        <f ca="1">IF(COUNTIFS($B$3:B321,DATAKBA[[#This Row],[NAMA SUPP]],$E$3:E321,DATAKBA[[#This Row],[TANGGAL]])&lt;&gt;1,0,1)</f>
        <v>0</v>
      </c>
      <c r="D321" s="222">
        <f t="shared" si="23"/>
        <v>12</v>
      </c>
      <c r="E321" s="478">
        <v>43867</v>
      </c>
      <c r="F321" s="485" t="str">
        <f ca="1">DOC</f>
        <v/>
      </c>
      <c r="G321" s="486" t="s">
        <v>380</v>
      </c>
      <c r="H321" s="487" t="s">
        <v>262</v>
      </c>
      <c r="I321" s="488">
        <v>2</v>
      </c>
      <c r="J321" s="483">
        <v>15350</v>
      </c>
      <c r="K321" s="483">
        <v>7960</v>
      </c>
      <c r="L321" s="484">
        <f ca="1">NET</f>
        <v>7390</v>
      </c>
      <c r="M321" s="222" t="str">
        <f ca="1">DL</f>
        <v>LAUT</v>
      </c>
      <c r="Q321" s="346"/>
    </row>
    <row r="322" spans="2:17" ht="15">
      <c r="B322" s="477" t="str">
        <f ca="1">SUPPAJA</f>
        <v>ROSDIANTO</v>
      </c>
      <c r="C322" s="338">
        <f ca="1">IF(COUNTIFS($B$3:B322,DATAKBA[[#This Row],[NAMA SUPP]],$E$3:E322,DATAKBA[[#This Row],[TANGGAL]])&lt;&gt;1,0,1)</f>
        <v>1</v>
      </c>
      <c r="D322" s="222">
        <f t="shared" si="23"/>
        <v>13</v>
      </c>
      <c r="E322" s="478">
        <v>43867</v>
      </c>
      <c r="F322" s="479" t="str">
        <f ca="1">DOC</f>
        <v>003</v>
      </c>
      <c r="G322" s="480" t="s">
        <v>367</v>
      </c>
      <c r="H322" s="481" t="s">
        <v>368</v>
      </c>
      <c r="I322" s="482">
        <v>6</v>
      </c>
      <c r="J322" s="483">
        <v>48790</v>
      </c>
      <c r="K322" s="483">
        <v>23530</v>
      </c>
      <c r="L322" s="484">
        <f ca="1">NET</f>
        <v>25260</v>
      </c>
      <c r="M322" s="222" t="str">
        <f ca="1">DL</f>
        <v>LAUT</v>
      </c>
      <c r="Q322" s="346"/>
    </row>
    <row r="323" spans="2:17" ht="15">
      <c r="B323" s="351" t="str">
        <f ca="1">SUPPAJA</f>
        <v>ERAWATI</v>
      </c>
      <c r="C323" s="338">
        <f ca="1">IF(COUNTIFS($B$3:B323,DATAKBA[[#This Row],[NAMA SUPP]],$E$3:E323,DATAKBA[[#This Row],[TANGGAL]])&lt;&gt;1,0,1)</f>
        <v>1</v>
      </c>
      <c r="D323" s="222">
        <f t="shared" ref="D323:D336" si="24">COUNTER_RUDI</f>
        <v>1</v>
      </c>
      <c r="E323" s="206">
        <v>43868</v>
      </c>
      <c r="F323" s="210" t="str">
        <f ca="1">DOC</f>
        <v>028</v>
      </c>
      <c r="G323" s="207" t="s">
        <v>220</v>
      </c>
      <c r="H323" s="209" t="s">
        <v>253</v>
      </c>
      <c r="I323" s="208">
        <v>6</v>
      </c>
      <c r="J323" s="213">
        <v>36650</v>
      </c>
      <c r="K323" s="213">
        <v>14520</v>
      </c>
      <c r="L323" s="356">
        <v>22130</v>
      </c>
      <c r="M323" s="222" t="str">
        <f ca="1">DL</f>
        <v>DARAT</v>
      </c>
      <c r="Q323" s="346"/>
    </row>
    <row r="324" spans="2:17" ht="15">
      <c r="B324" s="351" t="str">
        <f ca="1">SUPPAJA</f>
        <v>ERAWATI</v>
      </c>
      <c r="C324" s="338">
        <f ca="1">IF(COUNTIFS($B$3:B324,DATAKBA[[#This Row],[NAMA SUPP]],$E$3:E324,DATAKBA[[#This Row],[TANGGAL]])&lt;&gt;1,0,1)</f>
        <v>0</v>
      </c>
      <c r="D324" s="222">
        <f t="shared" si="24"/>
        <v>2</v>
      </c>
      <c r="E324" s="206">
        <v>43868</v>
      </c>
      <c r="F324" s="210" t="str">
        <f ca="1">DOC</f>
        <v/>
      </c>
      <c r="G324" s="207" t="s">
        <v>325</v>
      </c>
      <c r="H324" s="209" t="s">
        <v>253</v>
      </c>
      <c r="I324" s="208">
        <v>1</v>
      </c>
      <c r="J324" s="213">
        <v>7780</v>
      </c>
      <c r="K324" s="213">
        <v>3910</v>
      </c>
      <c r="L324" s="356">
        <f ca="1">NET</f>
        <v>3870</v>
      </c>
      <c r="M324" s="222" t="str">
        <f ca="1">DL</f>
        <v>LAUT</v>
      </c>
      <c r="Q324" s="346"/>
    </row>
    <row r="325" spans="2:17" ht="15">
      <c r="B325" s="351" t="str">
        <f ca="1">SUPPAJA</f>
        <v>INDRAYANI</v>
      </c>
      <c r="C325" s="338">
        <f ca="1">IF(COUNTIFS($B$3:B325,DATAKBA[[#This Row],[NAMA SUPP]],$E$3:E325,DATAKBA[[#This Row],[TANGGAL]])&lt;&gt;1,0,1)</f>
        <v>1</v>
      </c>
      <c r="D325" s="222">
        <f t="shared" si="24"/>
        <v>3</v>
      </c>
      <c r="E325" s="206">
        <v>43868</v>
      </c>
      <c r="F325" s="352" t="str">
        <f ca="1">DOC</f>
        <v>025</v>
      </c>
      <c r="G325" s="353" t="s">
        <v>99</v>
      </c>
      <c r="H325" s="354" t="s">
        <v>253</v>
      </c>
      <c r="I325" s="355">
        <v>2</v>
      </c>
      <c r="J325" s="213">
        <v>21170</v>
      </c>
      <c r="K325" s="213">
        <v>7200</v>
      </c>
      <c r="L325" s="356">
        <v>13970</v>
      </c>
      <c r="M325" s="222" t="str">
        <f ca="1">DL</f>
        <v>DARAT</v>
      </c>
      <c r="Q325" s="346"/>
    </row>
    <row r="326" spans="2:17" ht="15">
      <c r="B326" s="351" t="str">
        <f ca="1">SUPPAJA</f>
        <v>RUSLAN JAYA, SH</v>
      </c>
      <c r="C326" s="338">
        <f ca="1">IF(COUNTIFS($B$3:B326,DATAKBA[[#This Row],[NAMA SUPP]],$E$3:E326,DATAKBA[[#This Row],[TANGGAL]])&lt;&gt;1,0,1)</f>
        <v>1</v>
      </c>
      <c r="D326" s="222">
        <f t="shared" si="24"/>
        <v>4</v>
      </c>
      <c r="E326" s="206">
        <v>43868</v>
      </c>
      <c r="F326" s="352" t="str">
        <f ca="1">DOC</f>
        <v>015</v>
      </c>
      <c r="G326" s="353" t="s">
        <v>230</v>
      </c>
      <c r="H326" s="354" t="s">
        <v>255</v>
      </c>
      <c r="I326" s="355">
        <v>1</v>
      </c>
      <c r="J326" s="213">
        <v>11070</v>
      </c>
      <c r="K326" s="213">
        <v>4280</v>
      </c>
      <c r="L326" s="356">
        <v>6790</v>
      </c>
      <c r="M326" s="222" t="str">
        <f ca="1">DL</f>
        <v>DARAT</v>
      </c>
      <c r="Q326" s="346"/>
    </row>
    <row r="327" spans="2:17" ht="15">
      <c r="B327" s="351" t="str">
        <f ca="1">SUPPAJA</f>
        <v>SAIRI</v>
      </c>
      <c r="C327" s="338">
        <f ca="1">IF(COUNTIFS($B$3:B327,DATAKBA[[#This Row],[NAMA SUPP]],$E$3:E327,DATAKBA[[#This Row],[TANGGAL]])&lt;&gt;1,0,1)</f>
        <v>1</v>
      </c>
      <c r="D327" s="222">
        <f t="shared" si="24"/>
        <v>5</v>
      </c>
      <c r="E327" s="206">
        <v>43868</v>
      </c>
      <c r="F327" s="352" t="str">
        <f ca="1">DOC</f>
        <v>020</v>
      </c>
      <c r="G327" s="353" t="s">
        <v>78</v>
      </c>
      <c r="H327" s="354" t="s">
        <v>267</v>
      </c>
      <c r="I327" s="355">
        <v>1</v>
      </c>
      <c r="J327" s="213">
        <v>8160</v>
      </c>
      <c r="K327" s="213">
        <v>4350</v>
      </c>
      <c r="L327" s="356">
        <v>3810</v>
      </c>
      <c r="M327" s="222" t="str">
        <f ca="1">DL</f>
        <v>DARAT</v>
      </c>
      <c r="Q327" s="346"/>
    </row>
    <row r="328" spans="2:17" ht="15">
      <c r="B328" s="351" t="str">
        <f ca="1">SUPPAJA</f>
        <v>YANADI</v>
      </c>
      <c r="C328" s="338">
        <f ca="1">IF(COUNTIFS($B$3:B328,DATAKBA[[#This Row],[NAMA SUPP]],$E$3:E328,DATAKBA[[#This Row],[TANGGAL]])&lt;&gt;1,0,1)</f>
        <v>1</v>
      </c>
      <c r="D328" s="222">
        <f t="shared" si="24"/>
        <v>6</v>
      </c>
      <c r="E328" s="206">
        <v>43868</v>
      </c>
      <c r="F328" s="210" t="str">
        <f ca="1">DOC</f>
        <v>017</v>
      </c>
      <c r="G328" s="207" t="s">
        <v>137</v>
      </c>
      <c r="H328" s="209" t="s">
        <v>265</v>
      </c>
      <c r="I328" s="208">
        <v>1</v>
      </c>
      <c r="J328" s="213">
        <v>16660</v>
      </c>
      <c r="K328" s="213">
        <v>5020</v>
      </c>
      <c r="L328" s="356">
        <v>11640</v>
      </c>
      <c r="M328" s="222" t="str">
        <f ca="1">DL</f>
        <v>DARAT</v>
      </c>
      <c r="Q328" s="346"/>
    </row>
    <row r="329" spans="2:17" ht="15">
      <c r="B329" s="351" t="str">
        <f ca="1">SUPPAJA</f>
        <v>DINI CHAIRANI</v>
      </c>
      <c r="C329" s="338">
        <f ca="1">IF(COUNTIFS($B$3:B329,DATAKBA[[#This Row],[NAMA SUPP]],$E$3:E329,DATAKBA[[#This Row],[TANGGAL]])&lt;&gt;1,0,1)</f>
        <v>1</v>
      </c>
      <c r="D329" s="222">
        <f t="shared" si="24"/>
        <v>7</v>
      </c>
      <c r="E329" s="206">
        <v>43868</v>
      </c>
      <c r="F329" s="210" t="str">
        <f ca="1">DOC</f>
        <v>020</v>
      </c>
      <c r="G329" s="207" t="s">
        <v>276</v>
      </c>
      <c r="H329" s="209" t="s">
        <v>268</v>
      </c>
      <c r="I329" s="208">
        <v>1</v>
      </c>
      <c r="J329" s="213">
        <v>6940</v>
      </c>
      <c r="K329" s="213">
        <v>4000</v>
      </c>
      <c r="L329" s="356">
        <f ca="1">NET</f>
        <v>2940</v>
      </c>
      <c r="M329" s="222" t="str">
        <f ca="1">DL</f>
        <v>LAUT</v>
      </c>
      <c r="Q329" s="346"/>
    </row>
    <row r="330" spans="2:17" ht="15">
      <c r="B330" s="351" t="str">
        <f ca="1">SUPPAJA</f>
        <v>HENDRI</v>
      </c>
      <c r="C330" s="338">
        <f ca="1">IF(COUNTIFS($B$3:B330,DATAKBA[[#This Row],[NAMA SUPP]],$E$3:E330,DATAKBA[[#This Row],[TANGGAL]])&lt;&gt;1,0,1)</f>
        <v>1</v>
      </c>
      <c r="D330" s="222">
        <f t="shared" si="24"/>
        <v>8</v>
      </c>
      <c r="E330" s="206">
        <v>43868</v>
      </c>
      <c r="F330" s="352" t="str">
        <f ca="1">DOC</f>
        <v>018</v>
      </c>
      <c r="G330" s="353" t="s">
        <v>277</v>
      </c>
      <c r="H330" s="354" t="s">
        <v>255</v>
      </c>
      <c r="I330" s="355">
        <v>3</v>
      </c>
      <c r="J330" s="213">
        <v>25640</v>
      </c>
      <c r="K330" s="213">
        <v>11600</v>
      </c>
      <c r="L330" s="356">
        <f ca="1">NET</f>
        <v>14040</v>
      </c>
      <c r="M330" s="222" t="str">
        <f ca="1">DL</f>
        <v>LAUT</v>
      </c>
      <c r="Q330" s="346"/>
    </row>
    <row r="331" spans="2:17" ht="15">
      <c r="B331" s="351" t="str">
        <f ca="1">SUPPAJA</f>
        <v>HENDRY JOHANES</v>
      </c>
      <c r="C331" s="338">
        <f ca="1">IF(COUNTIFS($B$3:B331,DATAKBA[[#This Row],[NAMA SUPP]],$E$3:E331,DATAKBA[[#This Row],[TANGGAL]])&lt;&gt;1,0,1)</f>
        <v>1</v>
      </c>
      <c r="D331" s="222">
        <f t="shared" si="24"/>
        <v>9</v>
      </c>
      <c r="E331" s="206">
        <v>43868</v>
      </c>
      <c r="F331" s="352" t="str">
        <f ca="1">DOC</f>
        <v>003</v>
      </c>
      <c r="G331" s="353" t="s">
        <v>398</v>
      </c>
      <c r="H331" s="354" t="s">
        <v>340</v>
      </c>
      <c r="I331" s="355">
        <v>3</v>
      </c>
      <c r="J331" s="213">
        <v>24880</v>
      </c>
      <c r="K331" s="213">
        <v>11670</v>
      </c>
      <c r="L331" s="356">
        <f ca="1">NET</f>
        <v>13210</v>
      </c>
      <c r="M331" s="222" t="str">
        <f ca="1">DL</f>
        <v>LAUT</v>
      </c>
      <c r="Q331" s="346"/>
    </row>
    <row r="332" spans="2:17" ht="15">
      <c r="B332" s="351" t="str">
        <f ca="1">SUPPAJA</f>
        <v>PT.SINAR KELAPA TEMBILAHAN</v>
      </c>
      <c r="C332" s="338">
        <f ca="1">IF(COUNTIFS($B$3:B332,DATAKBA[[#This Row],[NAMA SUPP]],$E$3:E332,DATAKBA[[#This Row],[TANGGAL]])&lt;&gt;1,0,1)</f>
        <v>1</v>
      </c>
      <c r="D332" s="222">
        <f t="shared" si="24"/>
        <v>10</v>
      </c>
      <c r="E332" s="206">
        <v>43868</v>
      </c>
      <c r="F332" s="352" t="str">
        <f ca="1">DOC</f>
        <v>012</v>
      </c>
      <c r="G332" s="353" t="s">
        <v>380</v>
      </c>
      <c r="H332" s="354" t="s">
        <v>262</v>
      </c>
      <c r="I332" s="355">
        <v>2</v>
      </c>
      <c r="J332" s="213">
        <v>13780</v>
      </c>
      <c r="K332" s="213">
        <v>7700</v>
      </c>
      <c r="L332" s="356">
        <f ca="1">NET</f>
        <v>6080</v>
      </c>
      <c r="M332" s="222" t="str">
        <f ca="1">DL</f>
        <v>LAUT</v>
      </c>
      <c r="Q332" s="346"/>
    </row>
    <row r="333" spans="2:17" ht="15">
      <c r="B333" s="351" t="str">
        <f ca="1">SUPPAJA</f>
        <v>PT.SINAR KELAPA TEMBILAHAN</v>
      </c>
      <c r="C333" s="338">
        <f ca="1">IF(COUNTIFS($B$3:B333,DATAKBA[[#This Row],[NAMA SUPP]],$E$3:E333,DATAKBA[[#This Row],[TANGGAL]])&lt;&gt;1,0,1)</f>
        <v>0</v>
      </c>
      <c r="D333" s="222">
        <f t="shared" si="24"/>
        <v>11</v>
      </c>
      <c r="E333" s="206">
        <v>43868</v>
      </c>
      <c r="F333" s="352" t="str">
        <f ca="1">DOC</f>
        <v/>
      </c>
      <c r="G333" s="353" t="s">
        <v>399</v>
      </c>
      <c r="H333" s="354" t="s">
        <v>262</v>
      </c>
      <c r="I333" s="355">
        <v>1</v>
      </c>
      <c r="J333" s="213">
        <v>8390</v>
      </c>
      <c r="K333" s="213">
        <v>3960</v>
      </c>
      <c r="L333" s="356">
        <f ca="1">NET</f>
        <v>4430</v>
      </c>
      <c r="M333" s="222" t="str">
        <f ca="1">DL</f>
        <v>LAUT</v>
      </c>
      <c r="Q333" s="346"/>
    </row>
    <row r="334" spans="2:17" ht="15">
      <c r="B334" s="351" t="str">
        <f ca="1">SUPPAJA</f>
        <v>PT.SINAR KELAPA TEMBILAHAN</v>
      </c>
      <c r="C334" s="338">
        <f ca="1">IF(COUNTIFS($B$3:B334,DATAKBA[[#This Row],[NAMA SUPP]],$E$3:E334,DATAKBA[[#This Row],[TANGGAL]])&lt;&gt;1,0,1)</f>
        <v>0</v>
      </c>
      <c r="D334" s="222">
        <f t="shared" si="24"/>
        <v>12</v>
      </c>
      <c r="E334" s="206">
        <v>43868</v>
      </c>
      <c r="F334" s="352" t="str">
        <f ca="1">DOC</f>
        <v/>
      </c>
      <c r="G334" s="353" t="s">
        <v>261</v>
      </c>
      <c r="H334" s="354" t="s">
        <v>262</v>
      </c>
      <c r="I334" s="355">
        <v>4</v>
      </c>
      <c r="J334" s="213">
        <v>31910</v>
      </c>
      <c r="K334" s="213">
        <v>15590</v>
      </c>
      <c r="L334" s="356">
        <f ca="1">NET</f>
        <v>16320</v>
      </c>
      <c r="M334" s="222" t="str">
        <f ca="1">DL</f>
        <v>LAUT</v>
      </c>
      <c r="Q334" s="346"/>
    </row>
    <row r="335" spans="2:17" ht="15">
      <c r="B335" s="351" t="str">
        <f ca="1">SUPPAJA</f>
        <v>PT.SINAR KELAPA TEMBILAHAN</v>
      </c>
      <c r="C335" s="338">
        <f ca="1">IF(COUNTIFS($B$3:B335,DATAKBA[[#This Row],[NAMA SUPP]],$E$3:E335,DATAKBA[[#This Row],[TANGGAL]])&lt;&gt;1,0,1)</f>
        <v>0</v>
      </c>
      <c r="D335" s="222">
        <f t="shared" si="24"/>
        <v>13</v>
      </c>
      <c r="E335" s="206">
        <v>43868</v>
      </c>
      <c r="F335" s="352" t="str">
        <f ca="1">DOC</f>
        <v/>
      </c>
      <c r="G335" s="353" t="s">
        <v>390</v>
      </c>
      <c r="H335" s="354" t="s">
        <v>262</v>
      </c>
      <c r="I335" s="355">
        <v>2</v>
      </c>
      <c r="J335" s="213">
        <v>17790</v>
      </c>
      <c r="K335" s="213">
        <v>7880</v>
      </c>
      <c r="L335" s="356">
        <f ca="1">NET</f>
        <v>9910</v>
      </c>
      <c r="M335" s="222" t="str">
        <f ca="1">DL</f>
        <v>LAUT</v>
      </c>
      <c r="Q335" s="346"/>
    </row>
    <row r="336" spans="2:17" ht="15">
      <c r="B336" s="351" t="str">
        <f ca="1">SUPPAJA</f>
        <v>SUKAMTO</v>
      </c>
      <c r="C336" s="338">
        <f ca="1">IF(COUNTIFS($B$3:B336,DATAKBA[[#This Row],[NAMA SUPP]],$E$3:E336,DATAKBA[[#This Row],[TANGGAL]])&lt;&gt;1,0,1)</f>
        <v>1</v>
      </c>
      <c r="D336" s="222">
        <f t="shared" si="24"/>
        <v>14</v>
      </c>
      <c r="E336" s="206">
        <v>43868</v>
      </c>
      <c r="F336" s="210" t="str">
        <f ca="1">DOC</f>
        <v>010</v>
      </c>
      <c r="G336" s="207" t="s">
        <v>274</v>
      </c>
      <c r="H336" s="209" t="s">
        <v>275</v>
      </c>
      <c r="I336" s="208">
        <v>1</v>
      </c>
      <c r="J336" s="213">
        <v>8030</v>
      </c>
      <c r="K336" s="213">
        <v>3880</v>
      </c>
      <c r="L336" s="356">
        <f ca="1">NET</f>
        <v>4150</v>
      </c>
      <c r="M336" s="222" t="str">
        <f ca="1">DL</f>
        <v>LAUT</v>
      </c>
      <c r="Q336" s="346"/>
    </row>
    <row r="337" spans="2:17" ht="15">
      <c r="B337" s="489" t="str">
        <f ca="1">SUPPAJA</f>
        <v>ERAWATI</v>
      </c>
      <c r="C337" s="338">
        <f ca="1">IF(COUNTIFS($B$3:B337,DATAKBA[[#This Row],[NAMA SUPP]],$E$3:E337,DATAKBA[[#This Row],[TANGGAL]])&lt;&gt;1,0,1)</f>
        <v>1</v>
      </c>
      <c r="D337" s="222">
        <f t="shared" ref="D337:D346" si="25">COUNTER_RUDI</f>
        <v>1</v>
      </c>
      <c r="E337" s="490">
        <v>43869</v>
      </c>
      <c r="F337" s="497" t="str">
        <f ca="1">DOC</f>
        <v>029</v>
      </c>
      <c r="G337" s="498" t="s">
        <v>220</v>
      </c>
      <c r="H337" s="499" t="s">
        <v>253</v>
      </c>
      <c r="I337" s="500">
        <v>4</v>
      </c>
      <c r="J337" s="495">
        <f>8500+11240+11250+11240</f>
        <v>42230</v>
      </c>
      <c r="K337" s="495">
        <f>4370+5910+4410+4330</f>
        <v>19020</v>
      </c>
      <c r="L337" s="496">
        <f ca="1">NET</f>
        <v>23210</v>
      </c>
      <c r="M337" s="222" t="str">
        <f ca="1">DL</f>
        <v>DARAT</v>
      </c>
      <c r="Q337" s="346"/>
    </row>
    <row r="338" spans="2:17" ht="15">
      <c r="B338" s="489" t="str">
        <f ca="1">SUPPAJA</f>
        <v>RUSLAN JAYA, SH</v>
      </c>
      <c r="C338" s="338">
        <f ca="1">IF(COUNTIFS($B$3:B338,DATAKBA[[#This Row],[NAMA SUPP]],$E$3:E338,DATAKBA[[#This Row],[TANGGAL]])&lt;&gt;1,0,1)</f>
        <v>1</v>
      </c>
      <c r="D338" s="222">
        <f t="shared" si="25"/>
        <v>2</v>
      </c>
      <c r="E338" s="490">
        <v>43869</v>
      </c>
      <c r="F338" s="497" t="str">
        <f ca="1">DOC</f>
        <v>016</v>
      </c>
      <c r="G338" s="498" t="s">
        <v>230</v>
      </c>
      <c r="H338" s="499" t="s">
        <v>255</v>
      </c>
      <c r="I338" s="500">
        <v>2</v>
      </c>
      <c r="J338" s="495">
        <f>3060+2640</f>
        <v>5700</v>
      </c>
      <c r="K338" s="495">
        <f>1550+1640</f>
        <v>3190</v>
      </c>
      <c r="L338" s="496">
        <f ca="1">NET</f>
        <v>2510</v>
      </c>
      <c r="M338" s="222" t="str">
        <f ca="1">DL</f>
        <v>DARAT</v>
      </c>
      <c r="Q338" s="346"/>
    </row>
    <row r="339" spans="2:17" ht="15">
      <c r="B339" s="489" t="str">
        <f ca="1">SUPPAJA</f>
        <v>YANADI</v>
      </c>
      <c r="C339" s="338">
        <f ca="1">IF(COUNTIFS($B$3:B339,DATAKBA[[#This Row],[NAMA SUPP]],$E$3:E339,DATAKBA[[#This Row],[TANGGAL]])&lt;&gt;1,0,1)</f>
        <v>1</v>
      </c>
      <c r="D339" s="222">
        <f t="shared" si="25"/>
        <v>3</v>
      </c>
      <c r="E339" s="490">
        <v>43869</v>
      </c>
      <c r="F339" s="497" t="str">
        <f ca="1">DOC</f>
        <v>018</v>
      </c>
      <c r="G339" s="498" t="s">
        <v>137</v>
      </c>
      <c r="H339" s="499" t="s">
        <v>265</v>
      </c>
      <c r="I339" s="500">
        <v>1</v>
      </c>
      <c r="J339" s="495">
        <v>16260</v>
      </c>
      <c r="K339" s="495">
        <v>6410</v>
      </c>
      <c r="L339" s="496">
        <f ca="1">NET</f>
        <v>9850</v>
      </c>
      <c r="M339" s="222" t="str">
        <f ca="1">DL</f>
        <v>DARAT</v>
      </c>
      <c r="Q339" s="346"/>
    </row>
    <row r="340" spans="2:17" ht="15">
      <c r="B340" s="489" t="str">
        <f ca="1">SUPPAJA</f>
        <v>DINI CHAIRANI</v>
      </c>
      <c r="C340" s="338">
        <f ca="1">IF(COUNTIFS($B$3:B340,DATAKBA[[#This Row],[NAMA SUPP]],$E$3:E340,DATAKBA[[#This Row],[TANGGAL]])&lt;&gt;1,0,1)</f>
        <v>1</v>
      </c>
      <c r="D340" s="222">
        <f t="shared" si="25"/>
        <v>4</v>
      </c>
      <c r="E340" s="490">
        <v>43869</v>
      </c>
      <c r="F340" s="491" t="str">
        <f ca="1">DOC</f>
        <v>021</v>
      </c>
      <c r="G340" s="492" t="s">
        <v>269</v>
      </c>
      <c r="H340" s="493" t="s">
        <v>268</v>
      </c>
      <c r="I340" s="494">
        <v>5</v>
      </c>
      <c r="J340" s="495">
        <v>40820</v>
      </c>
      <c r="K340" s="495">
        <v>19480</v>
      </c>
      <c r="L340" s="496">
        <f ca="1">NET</f>
        <v>21340</v>
      </c>
      <c r="M340" s="222" t="str">
        <f ca="1">DL</f>
        <v>LAUT</v>
      </c>
      <c r="Q340" s="346"/>
    </row>
    <row r="341" spans="2:17" ht="15">
      <c r="B341" s="489" t="str">
        <f ca="1">SUPPAJA</f>
        <v>DINI CHAIRANI</v>
      </c>
      <c r="C341" s="338">
        <f ca="1">IF(COUNTIFS($B$3:B341,DATAKBA[[#This Row],[NAMA SUPP]],$E$3:E341,DATAKBA[[#This Row],[TANGGAL]])&lt;&gt;1,0,1)</f>
        <v>0</v>
      </c>
      <c r="D341" s="222">
        <f t="shared" si="25"/>
        <v>5</v>
      </c>
      <c r="E341" s="490">
        <v>43869</v>
      </c>
      <c r="F341" s="491" t="str">
        <f ca="1">DOC</f>
        <v/>
      </c>
      <c r="G341" s="492" t="s">
        <v>334</v>
      </c>
      <c r="H341" s="493" t="s">
        <v>268</v>
      </c>
      <c r="I341" s="494">
        <v>2</v>
      </c>
      <c r="J341" s="495">
        <v>14680</v>
      </c>
      <c r="K341" s="495">
        <v>7800</v>
      </c>
      <c r="L341" s="496">
        <f ca="1">NET</f>
        <v>6880</v>
      </c>
      <c r="M341" s="222" t="str">
        <f ca="1">DL</f>
        <v>LAUT</v>
      </c>
      <c r="Q341" s="346"/>
    </row>
    <row r="342" spans="2:17" ht="15">
      <c r="B342" s="489" t="str">
        <f ca="1">SUPPAJA</f>
        <v>PT.SINAR KELAPA TEMBILAHAN</v>
      </c>
      <c r="C342" s="338">
        <f ca="1">IF(COUNTIFS($B$3:B342,DATAKBA[[#This Row],[NAMA SUPP]],$E$3:E342,DATAKBA[[#This Row],[TANGGAL]])&lt;&gt;1,0,1)</f>
        <v>1</v>
      </c>
      <c r="D342" s="222">
        <f t="shared" si="25"/>
        <v>6</v>
      </c>
      <c r="E342" s="490">
        <v>43869</v>
      </c>
      <c r="F342" s="491" t="str">
        <f ca="1">DOC</f>
        <v>013</v>
      </c>
      <c r="G342" s="492" t="s">
        <v>380</v>
      </c>
      <c r="H342" s="493" t="s">
        <v>262</v>
      </c>
      <c r="I342" s="494">
        <v>2</v>
      </c>
      <c r="J342" s="495">
        <v>14370</v>
      </c>
      <c r="K342" s="495">
        <v>7820</v>
      </c>
      <c r="L342" s="496">
        <f ca="1">NET</f>
        <v>6550</v>
      </c>
      <c r="M342" s="222" t="str">
        <f ca="1">DL</f>
        <v>LAUT</v>
      </c>
      <c r="Q342" s="346"/>
    </row>
    <row r="343" spans="2:17" ht="15">
      <c r="B343" s="489" t="str">
        <f ca="1">SUPPAJA</f>
        <v>PT.SINAR KELAPA TEMBILAHAN</v>
      </c>
      <c r="C343" s="338">
        <f ca="1">IF(COUNTIFS($B$3:B343,DATAKBA[[#This Row],[NAMA SUPP]],$E$3:E343,DATAKBA[[#This Row],[TANGGAL]])&lt;&gt;1,0,1)</f>
        <v>0</v>
      </c>
      <c r="D343" s="222">
        <f t="shared" si="25"/>
        <v>7</v>
      </c>
      <c r="E343" s="490">
        <v>43869</v>
      </c>
      <c r="F343" s="491" t="str">
        <f ca="1">DOC</f>
        <v/>
      </c>
      <c r="G343" s="492" t="s">
        <v>400</v>
      </c>
      <c r="H343" s="493" t="s">
        <v>262</v>
      </c>
      <c r="I343" s="494">
        <v>2</v>
      </c>
      <c r="J343" s="495">
        <v>15450</v>
      </c>
      <c r="K343" s="495">
        <v>7860</v>
      </c>
      <c r="L343" s="496">
        <f ca="1">NET</f>
        <v>7590</v>
      </c>
      <c r="M343" s="222" t="str">
        <f ca="1">DL</f>
        <v>LAUT</v>
      </c>
      <c r="Q343" s="346"/>
    </row>
    <row r="344" spans="2:17" ht="15">
      <c r="B344" s="489" t="str">
        <f ca="1">SUPPAJA</f>
        <v>PT.SINAR KELAPA TEMBILAHAN</v>
      </c>
      <c r="C344" s="338">
        <f ca="1">IF(COUNTIFS($B$3:B344,DATAKBA[[#This Row],[NAMA SUPP]],$E$3:E344,DATAKBA[[#This Row],[TANGGAL]])&lt;&gt;1,0,1)</f>
        <v>0</v>
      </c>
      <c r="D344" s="222">
        <f t="shared" si="25"/>
        <v>8</v>
      </c>
      <c r="E344" s="490">
        <v>43869</v>
      </c>
      <c r="F344" s="491" t="str">
        <f ca="1">DOC</f>
        <v/>
      </c>
      <c r="G344" s="492" t="s">
        <v>401</v>
      </c>
      <c r="H344" s="493" t="s">
        <v>262</v>
      </c>
      <c r="I344" s="494">
        <v>2</v>
      </c>
      <c r="J344" s="495">
        <v>14340</v>
      </c>
      <c r="K344" s="495">
        <v>7870</v>
      </c>
      <c r="L344" s="496">
        <f ca="1">NET</f>
        <v>6470</v>
      </c>
      <c r="M344" s="222" t="str">
        <f ca="1">DL</f>
        <v>LAUT</v>
      </c>
      <c r="Q344" s="346"/>
    </row>
    <row r="345" spans="2:17" ht="15">
      <c r="B345" s="489" t="str">
        <f ca="1">SUPPAJA</f>
        <v>PT.SINAR KELAPA TEMBILAHAN</v>
      </c>
      <c r="C345" s="338">
        <f ca="1">IF(COUNTIFS($B$3:B345,DATAKBA[[#This Row],[NAMA SUPP]],$E$3:E345,DATAKBA[[#This Row],[TANGGAL]])&lt;&gt;1,0,1)</f>
        <v>0</v>
      </c>
      <c r="D345" s="222">
        <f t="shared" si="25"/>
        <v>9</v>
      </c>
      <c r="E345" s="490">
        <v>43869</v>
      </c>
      <c r="F345" s="491" t="str">
        <f ca="1">DOC</f>
        <v/>
      </c>
      <c r="G345" s="492" t="s">
        <v>394</v>
      </c>
      <c r="H345" s="493" t="s">
        <v>262</v>
      </c>
      <c r="I345" s="494">
        <v>2</v>
      </c>
      <c r="J345" s="495">
        <v>14430</v>
      </c>
      <c r="K345" s="495">
        <v>7860</v>
      </c>
      <c r="L345" s="496">
        <f ca="1">NET</f>
        <v>6570</v>
      </c>
      <c r="M345" s="222" t="str">
        <f ca="1">DL</f>
        <v>LAUT</v>
      </c>
      <c r="Q345" s="346"/>
    </row>
    <row r="346" spans="2:17" ht="15">
      <c r="B346" s="489" t="str">
        <f ca="1">SUPPAJA</f>
        <v>PT.SINAR KELAPA TEMBILAHAN</v>
      </c>
      <c r="C346" s="338">
        <f ca="1">IF(COUNTIFS($B$3:B346,DATAKBA[[#This Row],[NAMA SUPP]],$E$3:E346,DATAKBA[[#This Row],[TANGGAL]])&lt;&gt;1,0,1)</f>
        <v>0</v>
      </c>
      <c r="D346" s="222">
        <f t="shared" si="25"/>
        <v>10</v>
      </c>
      <c r="E346" s="490">
        <v>43869</v>
      </c>
      <c r="F346" s="491" t="str">
        <f ca="1">DOC</f>
        <v/>
      </c>
      <c r="G346" s="492" t="s">
        <v>399</v>
      </c>
      <c r="H346" s="493" t="s">
        <v>262</v>
      </c>
      <c r="I346" s="494">
        <v>1</v>
      </c>
      <c r="J346" s="495">
        <v>8910</v>
      </c>
      <c r="K346" s="495">
        <v>3960</v>
      </c>
      <c r="L346" s="496">
        <f ca="1">NET</f>
        <v>4950</v>
      </c>
      <c r="M346" s="222" t="str">
        <f ca="1">DL</f>
        <v>LAUT</v>
      </c>
      <c r="Q346" s="346"/>
    </row>
    <row r="347" spans="2:17" ht="15">
      <c r="B347" s="489" t="str">
        <f ca="1">SUPPAJA</f>
        <v>ERAWATI</v>
      </c>
      <c r="C347" s="338">
        <f ca="1">IF(COUNTIFS($B$3:B347,DATAKBA[[#This Row],[NAMA SUPP]],$E$3:E347,DATAKBA[[#This Row],[TANGGAL]])&lt;&gt;1,0,1)</f>
        <v>1</v>
      </c>
      <c r="D347" s="222">
        <f t="shared" ref="D347:D357" si="26">COUNTER_RUDI</f>
        <v>1</v>
      </c>
      <c r="E347" s="490">
        <v>43871</v>
      </c>
      <c r="F347" s="491" t="str">
        <f ca="1">DOC</f>
        <v>030</v>
      </c>
      <c r="G347" s="492" t="s">
        <v>220</v>
      </c>
      <c r="H347" s="493" t="s">
        <v>253</v>
      </c>
      <c r="I347" s="494">
        <v>8</v>
      </c>
      <c r="J347" s="495">
        <v>63030</v>
      </c>
      <c r="K347" s="495">
        <v>23590</v>
      </c>
      <c r="L347" s="496">
        <f ca="1">NET</f>
        <v>39440</v>
      </c>
      <c r="M347" s="222" t="str">
        <f ca="1">DL</f>
        <v>DARAT</v>
      </c>
      <c r="Q347" s="346"/>
    </row>
    <row r="348" spans="2:17" ht="15">
      <c r="B348" s="489" t="str">
        <f ca="1">SUPPAJA</f>
        <v>INDRAYANI</v>
      </c>
      <c r="C348" s="338">
        <f ca="1">IF(COUNTIFS($B$3:B348,DATAKBA[[#This Row],[NAMA SUPP]],$E$3:E348,DATAKBA[[#This Row],[TANGGAL]])&lt;&gt;1,0,1)</f>
        <v>1</v>
      </c>
      <c r="D348" s="222">
        <f t="shared" si="26"/>
        <v>2</v>
      </c>
      <c r="E348" s="490">
        <v>43871</v>
      </c>
      <c r="F348" s="491" t="str">
        <f ca="1">DOC</f>
        <v>026</v>
      </c>
      <c r="G348" s="492" t="s">
        <v>99</v>
      </c>
      <c r="H348" s="493" t="s">
        <v>253</v>
      </c>
      <c r="I348" s="494">
        <v>4</v>
      </c>
      <c r="J348" s="495">
        <v>36220</v>
      </c>
      <c r="K348" s="495">
        <v>17160</v>
      </c>
      <c r="L348" s="496">
        <f ca="1">NET</f>
        <v>19060</v>
      </c>
      <c r="M348" s="222" t="str">
        <f ca="1">DL</f>
        <v>DARAT</v>
      </c>
      <c r="Q348" s="346"/>
    </row>
    <row r="349" spans="2:17" ht="15">
      <c r="B349" s="489" t="str">
        <f ca="1">SUPPAJA</f>
        <v>RUSLAN JAYA, SH</v>
      </c>
      <c r="C349" s="338">
        <f ca="1">IF(COUNTIFS($B$3:B349,DATAKBA[[#This Row],[NAMA SUPP]],$E$3:E349,DATAKBA[[#This Row],[TANGGAL]])&lt;&gt;1,0,1)</f>
        <v>1</v>
      </c>
      <c r="D349" s="222">
        <f t="shared" si="26"/>
        <v>3</v>
      </c>
      <c r="E349" s="490">
        <v>43871</v>
      </c>
      <c r="F349" s="491" t="str">
        <f ca="1">DOC</f>
        <v>017</v>
      </c>
      <c r="G349" s="492" t="s">
        <v>230</v>
      </c>
      <c r="H349" s="493" t="s">
        <v>255</v>
      </c>
      <c r="I349" s="494">
        <v>5</v>
      </c>
      <c r="J349" s="495">
        <v>43360</v>
      </c>
      <c r="K349" s="495">
        <v>15860</v>
      </c>
      <c r="L349" s="496">
        <f ca="1">NET</f>
        <v>27500</v>
      </c>
      <c r="M349" s="222" t="str">
        <f ca="1">DL</f>
        <v>DARAT</v>
      </c>
      <c r="Q349" s="346"/>
    </row>
    <row r="350" spans="2:17" ht="15">
      <c r="B350" s="489" t="str">
        <f ca="1">SUPPAJA</f>
        <v>YANADI</v>
      </c>
      <c r="C350" s="338">
        <f ca="1">IF(COUNTIFS($B$3:B350,DATAKBA[[#This Row],[NAMA SUPP]],$E$3:E350,DATAKBA[[#This Row],[TANGGAL]])&lt;&gt;1,0,1)</f>
        <v>1</v>
      </c>
      <c r="D350" s="222">
        <f t="shared" si="26"/>
        <v>4</v>
      </c>
      <c r="E350" s="490">
        <v>43871</v>
      </c>
      <c r="F350" s="497" t="str">
        <f ca="1">DOC</f>
        <v>019</v>
      </c>
      <c r="G350" s="498" t="s">
        <v>137</v>
      </c>
      <c r="H350" s="499" t="s">
        <v>265</v>
      </c>
      <c r="I350" s="500">
        <v>3</v>
      </c>
      <c r="J350" s="495">
        <v>38600</v>
      </c>
      <c r="K350" s="495">
        <v>13310</v>
      </c>
      <c r="L350" s="496">
        <f ca="1">NET</f>
        <v>25290</v>
      </c>
      <c r="M350" s="222" t="str">
        <f ca="1">DL</f>
        <v>DARAT</v>
      </c>
      <c r="Q350" s="346"/>
    </row>
    <row r="351" spans="2:17" ht="15">
      <c r="B351" s="489" t="str">
        <f ca="1">SUPPAJA</f>
        <v>MARTONO</v>
      </c>
      <c r="C351" s="338">
        <f ca="1">IF(COUNTIFS($B$3:B351,DATAKBA[[#This Row],[NAMA SUPP]],$E$3:E351,DATAKBA[[#This Row],[TANGGAL]])&lt;&gt;1,0,1)</f>
        <v>1</v>
      </c>
      <c r="D351" s="222">
        <f t="shared" si="26"/>
        <v>5</v>
      </c>
      <c r="E351" s="490">
        <v>43871</v>
      </c>
      <c r="F351" s="491" t="str">
        <f ca="1">DOC</f>
        <v>024</v>
      </c>
      <c r="G351" s="492" t="s">
        <v>258</v>
      </c>
      <c r="H351" s="493" t="s">
        <v>257</v>
      </c>
      <c r="I351" s="494">
        <v>1</v>
      </c>
      <c r="J351" s="495">
        <v>7560</v>
      </c>
      <c r="K351" s="495">
        <v>3910</v>
      </c>
      <c r="L351" s="496">
        <f ca="1">NET</f>
        <v>3650</v>
      </c>
      <c r="M351" s="222" t="str">
        <f ca="1">DL</f>
        <v>LAUT</v>
      </c>
      <c r="Q351" s="346"/>
    </row>
    <row r="352" spans="2:17" ht="15">
      <c r="B352" s="489" t="str">
        <f ca="1">SUPPAJA</f>
        <v>MASRI</v>
      </c>
      <c r="C352" s="338">
        <f ca="1">IF(COUNTIFS($B$3:B352,DATAKBA[[#This Row],[NAMA SUPP]],$E$3:E352,DATAKBA[[#This Row],[TANGGAL]])&lt;&gt;1,0,1)</f>
        <v>1</v>
      </c>
      <c r="D352" s="222">
        <f t="shared" si="26"/>
        <v>6</v>
      </c>
      <c r="E352" s="490">
        <v>43871</v>
      </c>
      <c r="F352" s="491" t="str">
        <f ca="1">DOC</f>
        <v>019</v>
      </c>
      <c r="G352" s="492" t="s">
        <v>280</v>
      </c>
      <c r="H352" s="493" t="s">
        <v>260</v>
      </c>
      <c r="I352" s="494">
        <v>15</v>
      </c>
      <c r="J352" s="495">
        <v>128970</v>
      </c>
      <c r="K352" s="495">
        <v>57750</v>
      </c>
      <c r="L352" s="496">
        <f ca="1">NET</f>
        <v>71220</v>
      </c>
      <c r="M352" s="222" t="str">
        <f ca="1">DL</f>
        <v>LAUT</v>
      </c>
      <c r="Q352" s="346"/>
    </row>
    <row r="353" spans="2:17" ht="15">
      <c r="B353" s="489" t="str">
        <f ca="1">SUPPAJA</f>
        <v>PT.SINAR KELAPA TEMBILAHAN</v>
      </c>
      <c r="C353" s="338">
        <f ca="1">IF(COUNTIFS($B$3:B353,DATAKBA[[#This Row],[NAMA SUPP]],$E$3:E353,DATAKBA[[#This Row],[TANGGAL]])&lt;&gt;1,0,1)</f>
        <v>1</v>
      </c>
      <c r="D353" s="222">
        <f t="shared" si="26"/>
        <v>7</v>
      </c>
      <c r="E353" s="490">
        <v>43871</v>
      </c>
      <c r="F353" s="491" t="str">
        <f ca="1">DOC</f>
        <v>014</v>
      </c>
      <c r="G353" s="492" t="s">
        <v>377</v>
      </c>
      <c r="H353" s="493" t="s">
        <v>262</v>
      </c>
      <c r="I353" s="494">
        <v>2</v>
      </c>
      <c r="J353" s="495">
        <v>16090</v>
      </c>
      <c r="K353" s="495">
        <v>7740</v>
      </c>
      <c r="L353" s="496">
        <f ca="1">NET</f>
        <v>8350</v>
      </c>
      <c r="M353" s="222" t="str">
        <f ca="1">DL</f>
        <v>LAUT</v>
      </c>
      <c r="Q353" s="346"/>
    </row>
    <row r="354" spans="2:17" ht="15">
      <c r="B354" s="489" t="str">
        <f ca="1">SUPPAJA</f>
        <v>PT.SINAR KELAPA TEMBILAHAN</v>
      </c>
      <c r="C354" s="338">
        <f ca="1">IF(COUNTIFS($B$3:B354,DATAKBA[[#This Row],[NAMA SUPP]],$E$3:E354,DATAKBA[[#This Row],[TANGGAL]])&lt;&gt;1,0,1)</f>
        <v>0</v>
      </c>
      <c r="D354" s="222">
        <f t="shared" si="26"/>
        <v>8</v>
      </c>
      <c r="E354" s="490">
        <v>43871</v>
      </c>
      <c r="F354" s="491" t="str">
        <f ca="1">DOC</f>
        <v/>
      </c>
      <c r="G354" s="492" t="s">
        <v>402</v>
      </c>
      <c r="H354" s="493" t="s">
        <v>262</v>
      </c>
      <c r="I354" s="494">
        <v>2</v>
      </c>
      <c r="J354" s="495">
        <v>13900</v>
      </c>
      <c r="K354" s="495">
        <v>7750</v>
      </c>
      <c r="L354" s="496">
        <f ca="1">NET</f>
        <v>6150</v>
      </c>
      <c r="M354" s="222" t="str">
        <f ca="1">DL</f>
        <v>LAUT</v>
      </c>
      <c r="Q354" s="346"/>
    </row>
    <row r="355" spans="2:17" ht="15">
      <c r="B355" s="489" t="str">
        <f ca="1">SUPPAJA</f>
        <v>PT.SINAR KELAPA TEMBILAHAN</v>
      </c>
      <c r="C355" s="338">
        <f ca="1">IF(COUNTIFS($B$3:B355,DATAKBA[[#This Row],[NAMA SUPP]],$E$3:E355,DATAKBA[[#This Row],[TANGGAL]])&lt;&gt;1,0,1)</f>
        <v>0</v>
      </c>
      <c r="D355" s="222">
        <f t="shared" si="26"/>
        <v>9</v>
      </c>
      <c r="E355" s="490">
        <v>43871</v>
      </c>
      <c r="F355" s="491" t="str">
        <f ca="1">DOC</f>
        <v/>
      </c>
      <c r="G355" s="492" t="s">
        <v>403</v>
      </c>
      <c r="H355" s="493" t="s">
        <v>262</v>
      </c>
      <c r="I355" s="494">
        <v>2</v>
      </c>
      <c r="J355" s="495">
        <v>15630</v>
      </c>
      <c r="K355" s="495">
        <v>7740</v>
      </c>
      <c r="L355" s="496">
        <f ca="1">NET</f>
        <v>7890</v>
      </c>
      <c r="M355" s="222" t="str">
        <f ca="1">DL</f>
        <v>LAUT</v>
      </c>
      <c r="Q355" s="346"/>
    </row>
    <row r="356" spans="2:17" ht="15">
      <c r="B356" s="489" t="str">
        <f ca="1">SUPPAJA</f>
        <v>PT.SINAR KELAPA TEMBILAHAN</v>
      </c>
      <c r="C356" s="338">
        <f ca="1">IF(COUNTIFS($B$3:B356,DATAKBA[[#This Row],[NAMA SUPP]],$E$3:E356,DATAKBA[[#This Row],[TANGGAL]])&lt;&gt;1,0,1)</f>
        <v>0</v>
      </c>
      <c r="D356" s="222">
        <f t="shared" si="26"/>
        <v>10</v>
      </c>
      <c r="E356" s="490">
        <v>43871</v>
      </c>
      <c r="F356" s="491" t="str">
        <f ca="1">DOC</f>
        <v/>
      </c>
      <c r="G356" s="492" t="s">
        <v>390</v>
      </c>
      <c r="H356" s="493" t="s">
        <v>262</v>
      </c>
      <c r="I356" s="494">
        <v>2</v>
      </c>
      <c r="J356" s="495">
        <v>18080</v>
      </c>
      <c r="K356" s="495">
        <v>7770</v>
      </c>
      <c r="L356" s="496">
        <f ca="1">NET</f>
        <v>10310</v>
      </c>
      <c r="M356" s="222" t="str">
        <f ca="1">DL</f>
        <v>LAUT</v>
      </c>
      <c r="Q356" s="346"/>
    </row>
    <row r="357" spans="2:17" ht="15">
      <c r="B357" s="489" t="str">
        <f ca="1">SUPPAJA</f>
        <v>SUKAMTO</v>
      </c>
      <c r="C357" s="338">
        <f ca="1">IF(COUNTIFS($B$3:B357,DATAKBA[[#This Row],[NAMA SUPP]],$E$3:E357,DATAKBA[[#This Row],[TANGGAL]])&lt;&gt;1,0,1)</f>
        <v>1</v>
      </c>
      <c r="D357" s="222">
        <f t="shared" si="26"/>
        <v>11</v>
      </c>
      <c r="E357" s="490">
        <v>43871</v>
      </c>
      <c r="F357" s="497" t="str">
        <f ca="1">DOC</f>
        <v>011</v>
      </c>
      <c r="G357" s="498" t="s">
        <v>395</v>
      </c>
      <c r="H357" s="499" t="s">
        <v>275</v>
      </c>
      <c r="I357" s="500">
        <v>1</v>
      </c>
      <c r="J357" s="495">
        <v>7430</v>
      </c>
      <c r="K357" s="495">
        <v>3870</v>
      </c>
      <c r="L357" s="496">
        <f ca="1">NET</f>
        <v>3560</v>
      </c>
      <c r="M357" s="222" t="str">
        <f ca="1">DL</f>
        <v>LAUT</v>
      </c>
      <c r="Q357" s="346"/>
    </row>
    <row r="358" spans="2:17" ht="15">
      <c r="B358" s="489" t="str">
        <f ca="1">SUPPAJA</f>
        <v>ERAWATI</v>
      </c>
      <c r="C358" s="338">
        <f ca="1">IF(COUNTIFS($B$3:B358,DATAKBA[[#This Row],[NAMA SUPP]],$E$3:E358,DATAKBA[[#This Row],[TANGGAL]])&lt;&gt;1,0,1)</f>
        <v>1</v>
      </c>
      <c r="D358" s="222">
        <f t="shared" ref="D358:D381" si="27">COUNTER_RUDI</f>
        <v>1</v>
      </c>
      <c r="E358" s="490">
        <v>43874</v>
      </c>
      <c r="F358" s="491" t="str">
        <f ca="1">DOC</f>
        <v>031</v>
      </c>
      <c r="G358" s="492" t="s">
        <v>220</v>
      </c>
      <c r="H358" s="493" t="s">
        <v>253</v>
      </c>
      <c r="I358" s="494">
        <v>10</v>
      </c>
      <c r="J358" s="495">
        <v>86310</v>
      </c>
      <c r="K358" s="495">
        <v>40090</v>
      </c>
      <c r="L358" s="496">
        <f ca="1">NET</f>
        <v>46220</v>
      </c>
      <c r="M358" s="222" t="str">
        <f ca="1">DL</f>
        <v>DARAT</v>
      </c>
      <c r="Q358" s="346"/>
    </row>
    <row r="359" spans="2:17" ht="15">
      <c r="B359" s="489" t="str">
        <f ca="1">SUPPAJA</f>
        <v>INDRAYANI</v>
      </c>
      <c r="C359" s="338">
        <f ca="1">IF(COUNTIFS($B$3:B359,DATAKBA[[#This Row],[NAMA SUPP]],$E$3:E359,DATAKBA[[#This Row],[TANGGAL]])&lt;&gt;1,0,1)</f>
        <v>1</v>
      </c>
      <c r="D359" s="222">
        <f t="shared" si="27"/>
        <v>2</v>
      </c>
      <c r="E359" s="490">
        <v>43874</v>
      </c>
      <c r="F359" s="491" t="str">
        <f ca="1">DOC</f>
        <v>027</v>
      </c>
      <c r="G359" s="492" t="s">
        <v>99</v>
      </c>
      <c r="H359" s="493" t="s">
        <v>253</v>
      </c>
      <c r="I359" s="494">
        <v>5</v>
      </c>
      <c r="J359" s="495">
        <v>52300</v>
      </c>
      <c r="K359" s="495">
        <v>21020</v>
      </c>
      <c r="L359" s="496">
        <f ca="1">NET</f>
        <v>31280</v>
      </c>
      <c r="M359" s="222" t="str">
        <f ca="1">DL</f>
        <v>DARAT</v>
      </c>
      <c r="Q359" s="346"/>
    </row>
    <row r="360" spans="2:17" ht="15">
      <c r="B360" s="489" t="str">
        <f ca="1">SUPPAJA</f>
        <v>RUSLAN JAYA, SH</v>
      </c>
      <c r="C360" s="338">
        <f ca="1">IF(COUNTIFS($B$3:B360,DATAKBA[[#This Row],[NAMA SUPP]],$E$3:E360,DATAKBA[[#This Row],[TANGGAL]])&lt;&gt;1,0,1)</f>
        <v>1</v>
      </c>
      <c r="D360" s="222">
        <f t="shared" si="27"/>
        <v>3</v>
      </c>
      <c r="E360" s="490">
        <v>43874</v>
      </c>
      <c r="F360" s="491" t="str">
        <f ca="1">DOC</f>
        <v>018</v>
      </c>
      <c r="G360" s="492" t="s">
        <v>230</v>
      </c>
      <c r="H360" s="493" t="s">
        <v>255</v>
      </c>
      <c r="I360" s="494">
        <v>2</v>
      </c>
      <c r="J360" s="495">
        <v>15760</v>
      </c>
      <c r="K360" s="495">
        <v>7520</v>
      </c>
      <c r="L360" s="496">
        <f ca="1">NET</f>
        <v>8240</v>
      </c>
      <c r="M360" s="222" t="str">
        <f ca="1">DL</f>
        <v>DARAT</v>
      </c>
      <c r="Q360" s="346"/>
    </row>
    <row r="361" spans="2:17" ht="15">
      <c r="B361" s="489" t="str">
        <f ca="1">SUPPAJA</f>
        <v>SAIRI</v>
      </c>
      <c r="C361" s="338">
        <f ca="1">IF(COUNTIFS($B$3:B361,DATAKBA[[#This Row],[NAMA SUPP]],$E$3:E361,DATAKBA[[#This Row],[TANGGAL]])&lt;&gt;1,0,1)</f>
        <v>1</v>
      </c>
      <c r="D361" s="222">
        <f t="shared" si="27"/>
        <v>4</v>
      </c>
      <c r="E361" s="490">
        <v>43874</v>
      </c>
      <c r="F361" s="491" t="str">
        <f ca="1">DOC</f>
        <v>021</v>
      </c>
      <c r="G361" s="492" t="s">
        <v>78</v>
      </c>
      <c r="H361" s="493" t="s">
        <v>267</v>
      </c>
      <c r="I361" s="494">
        <v>2</v>
      </c>
      <c r="J361" s="495">
        <v>14260</v>
      </c>
      <c r="K361" s="495">
        <v>7370</v>
      </c>
      <c r="L361" s="496">
        <f ca="1">NET</f>
        <v>6890</v>
      </c>
      <c r="M361" s="222" t="str">
        <f ca="1">DL</f>
        <v>DARAT</v>
      </c>
      <c r="Q361" s="346"/>
    </row>
    <row r="362" spans="2:17" ht="15">
      <c r="B362" s="489" t="str">
        <f ca="1">SUPPAJA</f>
        <v>YANADI</v>
      </c>
      <c r="C362" s="338">
        <f ca="1">IF(COUNTIFS($B$3:B362,DATAKBA[[#This Row],[NAMA SUPP]],$E$3:E362,DATAKBA[[#This Row],[TANGGAL]])&lt;&gt;1,0,1)</f>
        <v>1</v>
      </c>
      <c r="D362" s="222">
        <f t="shared" si="27"/>
        <v>5</v>
      </c>
      <c r="E362" s="490">
        <v>43874</v>
      </c>
      <c r="F362" s="497" t="str">
        <f ca="1">DOC</f>
        <v>020</v>
      </c>
      <c r="G362" s="498" t="s">
        <v>137</v>
      </c>
      <c r="H362" s="499" t="s">
        <v>265</v>
      </c>
      <c r="I362" s="500">
        <v>2</v>
      </c>
      <c r="J362" s="495">
        <v>26160</v>
      </c>
      <c r="K362" s="495">
        <v>8920</v>
      </c>
      <c r="L362" s="496">
        <f ca="1">NET</f>
        <v>17240</v>
      </c>
      <c r="M362" s="222" t="str">
        <f ca="1">DL</f>
        <v>DARAT</v>
      </c>
      <c r="Q362" s="346"/>
    </row>
    <row r="363" spans="2:17" ht="15">
      <c r="B363" s="489" t="str">
        <f ca="1">SUPPAJA</f>
        <v>YANADI</v>
      </c>
      <c r="C363" s="338">
        <f ca="1">IF(COUNTIFS($B$3:B363,DATAKBA[[#This Row],[NAMA SUPP]],$E$3:E363,DATAKBA[[#This Row],[TANGGAL]])&lt;&gt;1,0,1)</f>
        <v>0</v>
      </c>
      <c r="D363" s="222">
        <f t="shared" si="27"/>
        <v>6</v>
      </c>
      <c r="E363" s="490">
        <v>43874</v>
      </c>
      <c r="F363" s="497" t="str">
        <f ca="1">DOC</f>
        <v/>
      </c>
      <c r="G363" s="498" t="s">
        <v>281</v>
      </c>
      <c r="H363" s="499" t="s">
        <v>265</v>
      </c>
      <c r="I363" s="500">
        <v>1</v>
      </c>
      <c r="J363" s="495">
        <v>5780</v>
      </c>
      <c r="K363" s="495">
        <v>3870</v>
      </c>
      <c r="L363" s="496">
        <f ca="1">NET</f>
        <v>1910</v>
      </c>
      <c r="M363" s="222" t="str">
        <f ca="1">DL</f>
        <v>LAUT</v>
      </c>
      <c r="Q363" s="346"/>
    </row>
    <row r="364" spans="2:17" ht="15">
      <c r="B364" s="489" t="str">
        <f ca="1">SUPPAJA</f>
        <v>DINI CHAIRANI</v>
      </c>
      <c r="C364" s="338">
        <f ca="1">IF(COUNTIFS($B$3:B364,DATAKBA[[#This Row],[NAMA SUPP]],$E$3:E364,DATAKBA[[#This Row],[TANGGAL]])&lt;&gt;1,0,1)</f>
        <v>1</v>
      </c>
      <c r="D364" s="222">
        <f t="shared" si="27"/>
        <v>7</v>
      </c>
      <c r="E364" s="490">
        <v>43874</v>
      </c>
      <c r="F364" s="491" t="str">
        <f ca="1">DOC</f>
        <v>022</v>
      </c>
      <c r="G364" s="492" t="s">
        <v>228</v>
      </c>
      <c r="H364" s="493" t="s">
        <v>268</v>
      </c>
      <c r="I364" s="494">
        <v>2</v>
      </c>
      <c r="J364" s="495">
        <v>16470</v>
      </c>
      <c r="K364" s="495">
        <v>7640</v>
      </c>
      <c r="L364" s="496">
        <f ca="1">NET</f>
        <v>8830</v>
      </c>
      <c r="M364" s="222" t="str">
        <f ca="1">DL</f>
        <v>LAUT</v>
      </c>
      <c r="Q364" s="346"/>
    </row>
    <row r="365" spans="2:17" ht="15">
      <c r="B365" s="489" t="str">
        <f ca="1">SUPPAJA</f>
        <v>DINI CHAIRANI</v>
      </c>
      <c r="C365" s="338">
        <f ca="1">IF(COUNTIFS($B$3:B365,DATAKBA[[#This Row],[NAMA SUPP]],$E$3:E365,DATAKBA[[#This Row],[TANGGAL]])&lt;&gt;1,0,1)</f>
        <v>0</v>
      </c>
      <c r="D365" s="222">
        <f t="shared" si="27"/>
        <v>8</v>
      </c>
      <c r="E365" s="490">
        <v>43874</v>
      </c>
      <c r="F365" s="491" t="str">
        <f ca="1">DOC</f>
        <v/>
      </c>
      <c r="G365" s="492" t="s">
        <v>334</v>
      </c>
      <c r="H365" s="493" t="s">
        <v>268</v>
      </c>
      <c r="I365" s="494">
        <v>2</v>
      </c>
      <c r="J365" s="495">
        <v>14400</v>
      </c>
      <c r="K365" s="495">
        <v>7720</v>
      </c>
      <c r="L365" s="496">
        <f ca="1">NET</f>
        <v>6680</v>
      </c>
      <c r="M365" s="222" t="str">
        <f ca="1">DL</f>
        <v>LAUT</v>
      </c>
      <c r="Q365" s="346"/>
    </row>
    <row r="366" spans="2:17" ht="15">
      <c r="B366" s="489" t="str">
        <f ca="1">SUPPAJA</f>
        <v>DINI CHAIRANI</v>
      </c>
      <c r="C366" s="338">
        <f ca="1">IF(COUNTIFS($B$3:B366,DATAKBA[[#This Row],[NAMA SUPP]],$E$3:E366,DATAKBA[[#This Row],[TANGGAL]])&lt;&gt;1,0,1)</f>
        <v>0</v>
      </c>
      <c r="D366" s="222">
        <f t="shared" si="27"/>
        <v>9</v>
      </c>
      <c r="E366" s="490">
        <v>43874</v>
      </c>
      <c r="F366" s="491" t="str">
        <f ca="1">DOC</f>
        <v/>
      </c>
      <c r="G366" s="492" t="s">
        <v>371</v>
      </c>
      <c r="H366" s="493" t="s">
        <v>268</v>
      </c>
      <c r="I366" s="494">
        <v>2</v>
      </c>
      <c r="J366" s="495">
        <v>14360</v>
      </c>
      <c r="K366" s="495">
        <v>7650</v>
      </c>
      <c r="L366" s="496">
        <f ca="1">NET</f>
        <v>6710</v>
      </c>
      <c r="M366" s="222" t="str">
        <f ca="1">DL</f>
        <v>LAUT</v>
      </c>
      <c r="Q366" s="346"/>
    </row>
    <row r="367" spans="2:17" ht="15">
      <c r="B367" s="489" t="str">
        <f ca="1">SUPPAJA</f>
        <v>DINI CHAIRANI</v>
      </c>
      <c r="C367" s="338">
        <f ca="1">IF(COUNTIFS($B$3:B367,DATAKBA[[#This Row],[NAMA SUPP]],$E$3:E367,DATAKBA[[#This Row],[TANGGAL]])&lt;&gt;1,0,1)</f>
        <v>0</v>
      </c>
      <c r="D367" s="222">
        <f t="shared" si="27"/>
        <v>10</v>
      </c>
      <c r="E367" s="490">
        <v>43874</v>
      </c>
      <c r="F367" s="491" t="str">
        <f ca="1">DOC</f>
        <v/>
      </c>
      <c r="G367" s="492" t="s">
        <v>404</v>
      </c>
      <c r="H367" s="493" t="s">
        <v>268</v>
      </c>
      <c r="I367" s="494">
        <v>1</v>
      </c>
      <c r="J367" s="495">
        <v>7750</v>
      </c>
      <c r="K367" s="495">
        <v>3780</v>
      </c>
      <c r="L367" s="496">
        <f ca="1">NET</f>
        <v>3970</v>
      </c>
      <c r="M367" s="222" t="str">
        <f ca="1">DL</f>
        <v>LAUT</v>
      </c>
      <c r="Q367" s="346"/>
    </row>
    <row r="368" spans="2:17" ht="15">
      <c r="B368" s="489" t="str">
        <f ca="1">SUPPAJA</f>
        <v>HELMANSYAH</v>
      </c>
      <c r="C368" s="338">
        <f ca="1">IF(COUNTIFS($B$3:B368,DATAKBA[[#This Row],[NAMA SUPP]],$E$3:E368,DATAKBA[[#This Row],[TANGGAL]])&lt;&gt;1,0,1)</f>
        <v>1</v>
      </c>
      <c r="D368" s="222">
        <f t="shared" si="27"/>
        <v>11</v>
      </c>
      <c r="E368" s="490">
        <v>43874</v>
      </c>
      <c r="F368" s="491" t="str">
        <f ca="1">DOC</f>
        <v>001</v>
      </c>
      <c r="G368" s="492" t="s">
        <v>405</v>
      </c>
      <c r="H368" s="493" t="s">
        <v>406</v>
      </c>
      <c r="I368" s="494">
        <v>2</v>
      </c>
      <c r="J368" s="495">
        <v>16960</v>
      </c>
      <c r="K368" s="495">
        <v>7650</v>
      </c>
      <c r="L368" s="496">
        <f ca="1">NET</f>
        <v>9310</v>
      </c>
      <c r="M368" s="222" t="str">
        <f ca="1">DL</f>
        <v>LAUT</v>
      </c>
      <c r="Q368" s="346"/>
    </row>
    <row r="369" spans="2:17" ht="15">
      <c r="B369" s="489" t="str">
        <f ca="1">SUPPAJA</f>
        <v>HELMANSYAH</v>
      </c>
      <c r="C369" s="338">
        <f ca="1">IF(COUNTIFS($B$3:B369,DATAKBA[[#This Row],[NAMA SUPP]],$E$3:E369,DATAKBA[[#This Row],[TANGGAL]])&lt;&gt;1,0,1)</f>
        <v>0</v>
      </c>
      <c r="D369" s="222">
        <f t="shared" si="27"/>
        <v>12</v>
      </c>
      <c r="E369" s="490">
        <v>43874</v>
      </c>
      <c r="F369" s="491" t="str">
        <f ca="1">DOC</f>
        <v/>
      </c>
      <c r="G369" s="492" t="s">
        <v>407</v>
      </c>
      <c r="H369" s="493" t="s">
        <v>406</v>
      </c>
      <c r="I369" s="494">
        <v>2</v>
      </c>
      <c r="J369" s="495">
        <v>15160</v>
      </c>
      <c r="K369" s="495">
        <v>7740</v>
      </c>
      <c r="L369" s="496">
        <f ca="1">NET</f>
        <v>7420</v>
      </c>
      <c r="M369" s="222" t="str">
        <f ca="1">DL</f>
        <v>LAUT</v>
      </c>
      <c r="Q369" s="346"/>
    </row>
    <row r="370" spans="2:17" ht="15">
      <c r="B370" s="489" t="str">
        <f ca="1">SUPPAJA</f>
        <v>HELMANSYAH</v>
      </c>
      <c r="C370" s="338">
        <f ca="1">IF(COUNTIFS($B$3:B370,DATAKBA[[#This Row],[NAMA SUPP]],$E$3:E370,DATAKBA[[#This Row],[TANGGAL]])&lt;&gt;1,0,1)</f>
        <v>0</v>
      </c>
      <c r="D370" s="222">
        <f t="shared" si="27"/>
        <v>13</v>
      </c>
      <c r="E370" s="490">
        <v>43874</v>
      </c>
      <c r="F370" s="491" t="str">
        <f ca="1">DOC</f>
        <v/>
      </c>
      <c r="G370" s="492" t="s">
        <v>408</v>
      </c>
      <c r="H370" s="493" t="s">
        <v>406</v>
      </c>
      <c r="I370" s="494">
        <v>1</v>
      </c>
      <c r="J370" s="495">
        <v>7850</v>
      </c>
      <c r="K370" s="495">
        <v>3870</v>
      </c>
      <c r="L370" s="496">
        <f ca="1">NET</f>
        <v>3980</v>
      </c>
      <c r="M370" s="222" t="str">
        <f ca="1">DL</f>
        <v>LAUT</v>
      </c>
      <c r="Q370" s="346"/>
    </row>
    <row r="371" spans="2:17" ht="15">
      <c r="B371" s="489" t="str">
        <f ca="1">SUPPAJA</f>
        <v>HELMANSYAH</v>
      </c>
      <c r="C371" s="338">
        <f ca="1">IF(COUNTIFS($B$3:B371,DATAKBA[[#This Row],[NAMA SUPP]],$E$3:E371,DATAKBA[[#This Row],[TANGGAL]])&lt;&gt;1,0,1)</f>
        <v>0</v>
      </c>
      <c r="D371" s="222">
        <f t="shared" si="27"/>
        <v>14</v>
      </c>
      <c r="E371" s="490">
        <v>43874</v>
      </c>
      <c r="F371" s="491" t="str">
        <f ca="1">DOC</f>
        <v/>
      </c>
      <c r="G371" s="492" t="s">
        <v>409</v>
      </c>
      <c r="H371" s="493" t="s">
        <v>406</v>
      </c>
      <c r="I371" s="494">
        <v>2</v>
      </c>
      <c r="J371" s="495">
        <v>14690</v>
      </c>
      <c r="K371" s="495">
        <v>7630</v>
      </c>
      <c r="L371" s="496">
        <f ca="1">NET</f>
        <v>7060</v>
      </c>
      <c r="M371" s="222" t="str">
        <f ca="1">DL</f>
        <v>LAUT</v>
      </c>
      <c r="Q371" s="346"/>
    </row>
    <row r="372" spans="2:17" ht="15">
      <c r="B372" s="489" t="str">
        <f ca="1">SUPPAJA</f>
        <v>HELMANSYAH</v>
      </c>
      <c r="C372" s="338">
        <f ca="1">IF(COUNTIFS($B$3:B372,DATAKBA[[#This Row],[NAMA SUPP]],$E$3:E372,DATAKBA[[#This Row],[TANGGAL]])&lt;&gt;1,0,1)</f>
        <v>0</v>
      </c>
      <c r="D372" s="222">
        <f t="shared" si="27"/>
        <v>15</v>
      </c>
      <c r="E372" s="490">
        <v>43874</v>
      </c>
      <c r="F372" s="491" t="str">
        <f ca="1">DOC</f>
        <v/>
      </c>
      <c r="G372" s="492" t="s">
        <v>410</v>
      </c>
      <c r="H372" s="493" t="s">
        <v>406</v>
      </c>
      <c r="I372" s="494">
        <v>2</v>
      </c>
      <c r="J372" s="495">
        <v>18590</v>
      </c>
      <c r="K372" s="495">
        <v>7740</v>
      </c>
      <c r="L372" s="496">
        <f ca="1">NET</f>
        <v>10850</v>
      </c>
      <c r="M372" s="222" t="str">
        <f ca="1">DL</f>
        <v>LAUT</v>
      </c>
      <c r="Q372" s="346"/>
    </row>
    <row r="373" spans="2:17" ht="15">
      <c r="B373" s="489" t="str">
        <f ca="1">SUPPAJA</f>
        <v>MARTONO</v>
      </c>
      <c r="C373" s="338">
        <f ca="1">IF(COUNTIFS($B$3:B373,DATAKBA[[#This Row],[NAMA SUPP]],$E$3:E373,DATAKBA[[#This Row],[TANGGAL]])&lt;&gt;1,0,1)</f>
        <v>1</v>
      </c>
      <c r="D373" s="222">
        <f t="shared" si="27"/>
        <v>16</v>
      </c>
      <c r="E373" s="490">
        <v>43874</v>
      </c>
      <c r="F373" s="491" t="str">
        <f ca="1">DOC</f>
        <v>025</v>
      </c>
      <c r="G373" s="492" t="s">
        <v>326</v>
      </c>
      <c r="H373" s="493" t="s">
        <v>257</v>
      </c>
      <c r="I373" s="494">
        <v>4</v>
      </c>
      <c r="J373" s="495">
        <v>34110</v>
      </c>
      <c r="K373" s="495">
        <v>15460</v>
      </c>
      <c r="L373" s="496">
        <f ca="1">NET</f>
        <v>18650</v>
      </c>
      <c r="M373" s="222" t="str">
        <f ca="1">DL</f>
        <v>LAUT</v>
      </c>
      <c r="Q373" s="346"/>
    </row>
    <row r="374" spans="2:17" ht="15">
      <c r="B374" s="489" t="str">
        <f ca="1">SUPPAJA</f>
        <v>MARTONO</v>
      </c>
      <c r="C374" s="338">
        <f ca="1">IF(COUNTIFS($B$3:B374,DATAKBA[[#This Row],[NAMA SUPP]],$E$3:E374,DATAKBA[[#This Row],[TANGGAL]])&lt;&gt;1,0,1)</f>
        <v>0</v>
      </c>
      <c r="D374" s="222">
        <f t="shared" si="27"/>
        <v>17</v>
      </c>
      <c r="E374" s="490">
        <v>43874</v>
      </c>
      <c r="F374" s="491" t="str">
        <f ca="1">DOC</f>
        <v/>
      </c>
      <c r="G374" s="492" t="s">
        <v>392</v>
      </c>
      <c r="H374" s="493" t="s">
        <v>257</v>
      </c>
      <c r="I374" s="494">
        <v>5</v>
      </c>
      <c r="J374" s="495">
        <v>39670</v>
      </c>
      <c r="K374" s="495">
        <v>19450</v>
      </c>
      <c r="L374" s="496">
        <f ca="1">NET</f>
        <v>20220</v>
      </c>
      <c r="M374" s="222" t="str">
        <f ca="1">DL</f>
        <v>LAUT</v>
      </c>
      <c r="Q374" s="346"/>
    </row>
    <row r="375" spans="2:17" ht="15">
      <c r="B375" s="489" t="str">
        <f ca="1">SUPPAJA</f>
        <v>MARTONO</v>
      </c>
      <c r="C375" s="338">
        <f ca="1">IF(COUNTIFS($B$3:B375,DATAKBA[[#This Row],[NAMA SUPP]],$E$3:E375,DATAKBA[[#This Row],[TANGGAL]])&lt;&gt;1,0,1)</f>
        <v>0</v>
      </c>
      <c r="D375" s="222">
        <f t="shared" si="27"/>
        <v>18</v>
      </c>
      <c r="E375" s="490">
        <v>43874</v>
      </c>
      <c r="F375" s="491" t="str">
        <f ca="1">DOC</f>
        <v/>
      </c>
      <c r="G375" s="492" t="s">
        <v>347</v>
      </c>
      <c r="H375" s="493" t="s">
        <v>257</v>
      </c>
      <c r="I375" s="494">
        <v>1</v>
      </c>
      <c r="J375" s="495">
        <v>8170</v>
      </c>
      <c r="K375" s="495">
        <v>3870</v>
      </c>
      <c r="L375" s="496">
        <f ca="1">NET</f>
        <v>4300</v>
      </c>
      <c r="M375" s="222" t="str">
        <f ca="1">DL</f>
        <v>LAUT</v>
      </c>
      <c r="Q375" s="346"/>
    </row>
    <row r="376" spans="2:17" ht="15">
      <c r="B376" s="489" t="str">
        <f ca="1">SUPPAJA</f>
        <v>MARTONO</v>
      </c>
      <c r="C376" s="338">
        <f ca="1">IF(COUNTIFS($B$3:B376,DATAKBA[[#This Row],[NAMA SUPP]],$E$3:E376,DATAKBA[[#This Row],[TANGGAL]])&lt;&gt;1,0,1)</f>
        <v>0</v>
      </c>
      <c r="D376" s="222">
        <f t="shared" si="27"/>
        <v>19</v>
      </c>
      <c r="E376" s="490">
        <v>43874</v>
      </c>
      <c r="F376" s="491" t="str">
        <f ca="1">DOC</f>
        <v/>
      </c>
      <c r="G376" s="492" t="s">
        <v>271</v>
      </c>
      <c r="H376" s="493" t="s">
        <v>257</v>
      </c>
      <c r="I376" s="494">
        <v>3</v>
      </c>
      <c r="J376" s="495">
        <v>23160</v>
      </c>
      <c r="K376" s="495">
        <v>11590</v>
      </c>
      <c r="L376" s="496">
        <f ca="1">NET</f>
        <v>11570</v>
      </c>
      <c r="M376" s="222" t="str">
        <f ca="1">DL</f>
        <v>LAUT</v>
      </c>
      <c r="Q376" s="346"/>
    </row>
    <row r="377" spans="2:17" ht="15">
      <c r="B377" s="489" t="str">
        <f ca="1">SUPPAJA</f>
        <v>MARTONO</v>
      </c>
      <c r="C377" s="338">
        <f ca="1">IF(COUNTIFS($B$3:B377,DATAKBA[[#This Row],[NAMA SUPP]],$E$3:E377,DATAKBA[[#This Row],[TANGGAL]])&lt;&gt;1,0,1)</f>
        <v>0</v>
      </c>
      <c r="D377" s="222">
        <f t="shared" si="27"/>
        <v>20</v>
      </c>
      <c r="E377" s="490">
        <v>43874</v>
      </c>
      <c r="F377" s="491" t="str">
        <f ca="1">DOC</f>
        <v/>
      </c>
      <c r="G377" s="492" t="s">
        <v>279</v>
      </c>
      <c r="H377" s="493" t="s">
        <v>257</v>
      </c>
      <c r="I377" s="494">
        <v>2</v>
      </c>
      <c r="J377" s="495">
        <v>16090</v>
      </c>
      <c r="K377" s="495">
        <v>7580</v>
      </c>
      <c r="L377" s="496">
        <f ca="1">NET</f>
        <v>8510</v>
      </c>
      <c r="M377" s="222" t="str">
        <f ca="1">DL</f>
        <v>LAUT</v>
      </c>
      <c r="Q377" s="346"/>
    </row>
    <row r="378" spans="2:17" ht="15">
      <c r="B378" s="489" t="str">
        <f ca="1">SUPPAJA</f>
        <v>MASRI</v>
      </c>
      <c r="C378" s="338">
        <f ca="1">IF(COUNTIFS($B$3:B378,DATAKBA[[#This Row],[NAMA SUPP]],$E$3:E378,DATAKBA[[#This Row],[TANGGAL]])&lt;&gt;1,0,1)</f>
        <v>1</v>
      </c>
      <c r="D378" s="222">
        <f t="shared" si="27"/>
        <v>21</v>
      </c>
      <c r="E378" s="490">
        <v>43874</v>
      </c>
      <c r="F378" s="491" t="str">
        <f ca="1">DOC</f>
        <v>020</v>
      </c>
      <c r="G378" s="492" t="s">
        <v>357</v>
      </c>
      <c r="H378" s="493" t="s">
        <v>260</v>
      </c>
      <c r="I378" s="494">
        <v>10</v>
      </c>
      <c r="J378" s="495">
        <v>84410</v>
      </c>
      <c r="K378" s="495">
        <v>38800</v>
      </c>
      <c r="L378" s="496">
        <f ca="1">NET</f>
        <v>45610</v>
      </c>
      <c r="M378" s="222" t="str">
        <f ca="1">DL</f>
        <v>LAUT</v>
      </c>
      <c r="Q378" s="346"/>
    </row>
    <row r="379" spans="2:17" ht="15">
      <c r="B379" s="489" t="str">
        <f ca="1">SUPPAJA</f>
        <v>MASRI</v>
      </c>
      <c r="C379" s="338">
        <f ca="1">IF(COUNTIFS($B$3:B379,DATAKBA[[#This Row],[NAMA SUPP]],$E$3:E379,DATAKBA[[#This Row],[TANGGAL]])&lt;&gt;1,0,1)</f>
        <v>0</v>
      </c>
      <c r="D379" s="222">
        <f t="shared" si="27"/>
        <v>22</v>
      </c>
      <c r="E379" s="490">
        <v>43874</v>
      </c>
      <c r="F379" s="491" t="str">
        <f ca="1">DOC</f>
        <v/>
      </c>
      <c r="G379" s="492" t="s">
        <v>336</v>
      </c>
      <c r="H379" s="493" t="s">
        <v>260</v>
      </c>
      <c r="I379" s="494">
        <v>2</v>
      </c>
      <c r="J379" s="495">
        <v>14470</v>
      </c>
      <c r="K379" s="495">
        <v>7700</v>
      </c>
      <c r="L379" s="496">
        <f ca="1">NET</f>
        <v>6770</v>
      </c>
      <c r="M379" s="222" t="str">
        <f ca="1">DL</f>
        <v>LAUT</v>
      </c>
      <c r="Q379" s="346"/>
    </row>
    <row r="380" spans="2:17" ht="15">
      <c r="B380" s="489" t="str">
        <f ca="1">SUPPAJA</f>
        <v>MASRI</v>
      </c>
      <c r="C380" s="338">
        <f ca="1">IF(COUNTIFS($B$3:B380,DATAKBA[[#This Row],[NAMA SUPP]],$E$3:E380,DATAKBA[[#This Row],[TANGGAL]])&lt;&gt;1,0,1)</f>
        <v>0</v>
      </c>
      <c r="D380" s="222">
        <f t="shared" si="27"/>
        <v>23</v>
      </c>
      <c r="E380" s="490">
        <v>43874</v>
      </c>
      <c r="F380" s="491" t="str">
        <f ca="1">DOC</f>
        <v/>
      </c>
      <c r="G380" s="492" t="s">
        <v>411</v>
      </c>
      <c r="H380" s="493" t="s">
        <v>260</v>
      </c>
      <c r="I380" s="494">
        <v>8</v>
      </c>
      <c r="J380" s="495">
        <v>67050</v>
      </c>
      <c r="K380" s="495">
        <v>31060</v>
      </c>
      <c r="L380" s="496">
        <f ca="1">NET</f>
        <v>35990</v>
      </c>
      <c r="M380" s="222" t="str">
        <f ca="1">DL</f>
        <v>LAUT</v>
      </c>
      <c r="Q380" s="346"/>
    </row>
    <row r="381" spans="2:17" ht="15">
      <c r="B381" s="489" t="str">
        <f ca="1">SUPPAJA</f>
        <v>RITA ERNITA</v>
      </c>
      <c r="C381" s="338">
        <f ca="1">IF(COUNTIFS($B$3:B381,DATAKBA[[#This Row],[NAMA SUPP]],$E$3:E381,DATAKBA[[#This Row],[TANGGAL]])&lt;&gt;1,0,1)</f>
        <v>1</v>
      </c>
      <c r="D381" s="222">
        <f t="shared" si="27"/>
        <v>24</v>
      </c>
      <c r="E381" s="490">
        <v>43874</v>
      </c>
      <c r="F381" s="497" t="str">
        <f ca="1">DOC</f>
        <v>006</v>
      </c>
      <c r="G381" s="498" t="s">
        <v>266</v>
      </c>
      <c r="H381" s="499" t="s">
        <v>263</v>
      </c>
      <c r="I381" s="500">
        <v>9</v>
      </c>
      <c r="J381" s="495">
        <v>76990</v>
      </c>
      <c r="K381" s="495">
        <v>34610</v>
      </c>
      <c r="L381" s="496">
        <f ca="1">NET</f>
        <v>42380</v>
      </c>
      <c r="M381" s="222" t="str">
        <f ca="1">DL</f>
        <v>LAUT</v>
      </c>
      <c r="Q381" s="346"/>
    </row>
    <row r="382" spans="2:17" ht="15">
      <c r="B382" s="489" t="str">
        <f ca="1">SUPPAJA</f>
        <v>ERAWATI</v>
      </c>
      <c r="C382" s="338">
        <f ca="1">IF(COUNTIFS($B$3:B382,DATAKBA[[#This Row],[NAMA SUPP]],$E$3:E382,DATAKBA[[#This Row],[TANGGAL]])&lt;&gt;1,0,1)</f>
        <v>1</v>
      </c>
      <c r="D382" s="222">
        <f t="shared" ref="D382:D396" si="28">COUNTER_RUDI</f>
        <v>1</v>
      </c>
      <c r="E382" s="490">
        <v>43875</v>
      </c>
      <c r="F382" s="491" t="str">
        <f ca="1">DOC</f>
        <v>032</v>
      </c>
      <c r="G382" s="492" t="s">
        <v>220</v>
      </c>
      <c r="H382" s="493" t="s">
        <v>253</v>
      </c>
      <c r="I382" s="494">
        <v>3</v>
      </c>
      <c r="J382" s="495">
        <v>24910</v>
      </c>
      <c r="K382" s="495">
        <v>10470</v>
      </c>
      <c r="L382" s="496">
        <f ca="1">NET</f>
        <v>14440</v>
      </c>
      <c r="M382" s="222" t="str">
        <f ca="1">DL</f>
        <v>DARAT</v>
      </c>
      <c r="Q382" s="346"/>
    </row>
    <row r="383" spans="2:17" ht="15">
      <c r="B383" s="489" t="str">
        <f ca="1">SUPPAJA</f>
        <v>INDRAYANI</v>
      </c>
      <c r="C383" s="338">
        <f ca="1">IF(COUNTIFS($B$3:B383,DATAKBA[[#This Row],[NAMA SUPP]],$E$3:E383,DATAKBA[[#This Row],[TANGGAL]])&lt;&gt;1,0,1)</f>
        <v>1</v>
      </c>
      <c r="D383" s="222">
        <f t="shared" si="28"/>
        <v>2</v>
      </c>
      <c r="E383" s="490">
        <v>43875</v>
      </c>
      <c r="F383" s="491" t="str">
        <f ca="1">DOC</f>
        <v>028</v>
      </c>
      <c r="G383" s="492" t="s">
        <v>99</v>
      </c>
      <c r="H383" s="493" t="s">
        <v>253</v>
      </c>
      <c r="I383" s="494">
        <v>2</v>
      </c>
      <c r="J383" s="495">
        <v>21220</v>
      </c>
      <c r="K383" s="495">
        <v>7810</v>
      </c>
      <c r="L383" s="496">
        <f ca="1">NET</f>
        <v>13410</v>
      </c>
      <c r="M383" s="222" t="str">
        <f ca="1">DL</f>
        <v>DARAT</v>
      </c>
      <c r="Q383" s="346"/>
    </row>
    <row r="384" spans="2:17" ht="15">
      <c r="B384" s="489" t="str">
        <f ca="1">SUPPAJA</f>
        <v>RUSLAN JAYA, SH</v>
      </c>
      <c r="C384" s="338">
        <f ca="1">IF(COUNTIFS($B$3:B384,DATAKBA[[#This Row],[NAMA SUPP]],$E$3:E384,DATAKBA[[#This Row],[TANGGAL]])&lt;&gt;1,0,1)</f>
        <v>1</v>
      </c>
      <c r="D384" s="222">
        <f t="shared" si="28"/>
        <v>3</v>
      </c>
      <c r="E384" s="490">
        <v>43875</v>
      </c>
      <c r="F384" s="491" t="str">
        <f ca="1">DOC</f>
        <v>019</v>
      </c>
      <c r="G384" s="492" t="s">
        <v>230</v>
      </c>
      <c r="H384" s="493" t="s">
        <v>255</v>
      </c>
      <c r="I384" s="494">
        <v>1</v>
      </c>
      <c r="J384" s="495">
        <v>5100</v>
      </c>
      <c r="K384" s="495">
        <v>1480</v>
      </c>
      <c r="L384" s="496">
        <f ca="1">NET</f>
        <v>3620</v>
      </c>
      <c r="M384" s="222" t="str">
        <f ca="1">DL</f>
        <v>DARAT</v>
      </c>
      <c r="Q384" s="346"/>
    </row>
    <row r="385" spans="2:17" ht="15">
      <c r="B385" s="489" t="str">
        <f ca="1">SUPPAJA</f>
        <v>YANADI</v>
      </c>
      <c r="C385" s="338">
        <f ca="1">IF(COUNTIFS($B$3:B385,DATAKBA[[#This Row],[NAMA SUPP]],$E$3:E385,DATAKBA[[#This Row],[TANGGAL]])&lt;&gt;1,0,1)</f>
        <v>1</v>
      </c>
      <c r="D385" s="222">
        <f t="shared" si="28"/>
        <v>4</v>
      </c>
      <c r="E385" s="490">
        <v>43875</v>
      </c>
      <c r="F385" s="497" t="str">
        <f ca="1">DOC</f>
        <v>021</v>
      </c>
      <c r="G385" s="498" t="s">
        <v>137</v>
      </c>
      <c r="H385" s="499" t="s">
        <v>265</v>
      </c>
      <c r="I385" s="500">
        <v>3</v>
      </c>
      <c r="J385" s="495">
        <v>36280</v>
      </c>
      <c r="K385" s="495">
        <v>13310</v>
      </c>
      <c r="L385" s="496">
        <f ca="1">NET</f>
        <v>22970</v>
      </c>
      <c r="M385" s="222" t="str">
        <f ca="1">DL</f>
        <v>DARAT</v>
      </c>
      <c r="Q385" s="346"/>
    </row>
    <row r="386" spans="2:17" ht="15">
      <c r="B386" s="489" t="str">
        <f ca="1">SUPPAJA</f>
        <v>YANADI</v>
      </c>
      <c r="C386" s="338">
        <f ca="1">IF(COUNTIFS($B$3:B386,DATAKBA[[#This Row],[NAMA SUPP]],$E$3:E386,DATAKBA[[#This Row],[TANGGAL]])&lt;&gt;1,0,1)</f>
        <v>0</v>
      </c>
      <c r="D386" s="222">
        <f t="shared" si="28"/>
        <v>5</v>
      </c>
      <c r="E386" s="490">
        <v>43875</v>
      </c>
      <c r="F386" s="497" t="str">
        <f ca="1">DOC</f>
        <v/>
      </c>
      <c r="G386" s="498" t="s">
        <v>413</v>
      </c>
      <c r="H386" s="499" t="s">
        <v>265</v>
      </c>
      <c r="I386" s="500">
        <v>1</v>
      </c>
      <c r="J386" s="495">
        <v>7530</v>
      </c>
      <c r="K386" s="495">
        <v>3880</v>
      </c>
      <c r="L386" s="496">
        <f ca="1">NET</f>
        <v>3650</v>
      </c>
      <c r="M386" s="222" t="str">
        <f ca="1">DL</f>
        <v>LAUT</v>
      </c>
      <c r="Q386" s="346"/>
    </row>
    <row r="387" spans="2:17" ht="15">
      <c r="B387" s="489" t="str">
        <f ca="1">SUPPAJA</f>
        <v>DINI CHAIRANI</v>
      </c>
      <c r="C387" s="338">
        <f ca="1">IF(COUNTIFS($B$3:B387,DATAKBA[[#This Row],[NAMA SUPP]],$E$3:E387,DATAKBA[[#This Row],[TANGGAL]])&lt;&gt;1,0,1)</f>
        <v>1</v>
      </c>
      <c r="D387" s="222">
        <f t="shared" si="28"/>
        <v>6</v>
      </c>
      <c r="E387" s="490">
        <v>43875</v>
      </c>
      <c r="F387" s="491" t="str">
        <f ca="1">DOC</f>
        <v>023</v>
      </c>
      <c r="G387" s="492" t="s">
        <v>269</v>
      </c>
      <c r="H387" s="493" t="s">
        <v>268</v>
      </c>
      <c r="I387" s="494">
        <v>5</v>
      </c>
      <c r="J387" s="495">
        <v>39980</v>
      </c>
      <c r="K387" s="495">
        <v>19450</v>
      </c>
      <c r="L387" s="496">
        <f ca="1">NET</f>
        <v>20530</v>
      </c>
      <c r="M387" s="222" t="str">
        <f ca="1">DL</f>
        <v>LAUT</v>
      </c>
      <c r="Q387" s="346"/>
    </row>
    <row r="388" spans="2:17" ht="15">
      <c r="B388" s="489" t="str">
        <f ca="1">SUPPAJA</f>
        <v>DINI CHAIRANI</v>
      </c>
      <c r="C388" s="338">
        <f ca="1">IF(COUNTIFS($B$3:B388,DATAKBA[[#This Row],[NAMA SUPP]],$E$3:E388,DATAKBA[[#This Row],[TANGGAL]])&lt;&gt;1,0,1)</f>
        <v>0</v>
      </c>
      <c r="D388" s="222">
        <f t="shared" si="28"/>
        <v>7</v>
      </c>
      <c r="E388" s="490">
        <v>43875</v>
      </c>
      <c r="F388" s="491" t="str">
        <f ca="1">DOC</f>
        <v/>
      </c>
      <c r="G388" s="492" t="s">
        <v>414</v>
      </c>
      <c r="H388" s="493" t="s">
        <v>268</v>
      </c>
      <c r="I388" s="494">
        <v>1</v>
      </c>
      <c r="J388" s="495">
        <v>7130</v>
      </c>
      <c r="K388" s="495">
        <v>3870</v>
      </c>
      <c r="L388" s="496">
        <f ca="1">NET</f>
        <v>3260</v>
      </c>
      <c r="M388" s="222" t="str">
        <f ca="1">DL</f>
        <v>LAUT</v>
      </c>
      <c r="Q388" s="346"/>
    </row>
    <row r="389" spans="2:17" ht="15">
      <c r="B389" s="489" t="str">
        <f ca="1">SUPPAJA</f>
        <v>HELMANSYAH</v>
      </c>
      <c r="C389" s="338">
        <f ca="1">IF(COUNTIFS($B$3:B389,DATAKBA[[#This Row],[NAMA SUPP]],$E$3:E389,DATAKBA[[#This Row],[TANGGAL]])&lt;&gt;1,0,1)</f>
        <v>1</v>
      </c>
      <c r="D389" s="222">
        <f t="shared" si="28"/>
        <v>8</v>
      </c>
      <c r="E389" s="490">
        <v>43875</v>
      </c>
      <c r="F389" s="491" t="str">
        <f ca="1">DOC</f>
        <v>002</v>
      </c>
      <c r="G389" s="492" t="s">
        <v>415</v>
      </c>
      <c r="H389" s="493" t="s">
        <v>406</v>
      </c>
      <c r="I389" s="494">
        <v>5</v>
      </c>
      <c r="J389" s="495">
        <v>41780</v>
      </c>
      <c r="K389" s="495">
        <v>19290</v>
      </c>
      <c r="L389" s="496">
        <f ca="1">NET</f>
        <v>22490</v>
      </c>
      <c r="M389" s="222" t="str">
        <f ca="1">DL</f>
        <v>LAUT</v>
      </c>
      <c r="Q389" s="346"/>
    </row>
    <row r="390" spans="2:17" ht="15">
      <c r="B390" s="489" t="str">
        <f ca="1">SUPPAJA</f>
        <v>HELMANSYAH</v>
      </c>
      <c r="C390" s="338">
        <f ca="1">IF(COUNTIFS($B$3:B390,DATAKBA[[#This Row],[NAMA SUPP]],$E$3:E390,DATAKBA[[#This Row],[TANGGAL]])&lt;&gt;1,0,1)</f>
        <v>0</v>
      </c>
      <c r="D390" s="222">
        <f t="shared" si="28"/>
        <v>9</v>
      </c>
      <c r="E390" s="490">
        <v>43875</v>
      </c>
      <c r="F390" s="491" t="str">
        <f ca="1">DOC</f>
        <v/>
      </c>
      <c r="G390" s="492" t="s">
        <v>416</v>
      </c>
      <c r="H390" s="493" t="s">
        <v>406</v>
      </c>
      <c r="I390" s="494">
        <v>2</v>
      </c>
      <c r="J390" s="495">
        <v>15560</v>
      </c>
      <c r="K390" s="495">
        <v>7760</v>
      </c>
      <c r="L390" s="496">
        <f ca="1">NET</f>
        <v>7800</v>
      </c>
      <c r="M390" s="222" t="str">
        <f ca="1">DL</f>
        <v>LAUT</v>
      </c>
      <c r="Q390" s="346"/>
    </row>
    <row r="391" spans="2:17" ht="15">
      <c r="B391" s="489" t="str">
        <f ca="1">SUPPAJA</f>
        <v>HELMANSYAH</v>
      </c>
      <c r="C391" s="338">
        <f ca="1">IF(COUNTIFS($B$3:B391,DATAKBA[[#This Row],[NAMA SUPP]],$E$3:E391,DATAKBA[[#This Row],[TANGGAL]])&lt;&gt;1,0,1)</f>
        <v>0</v>
      </c>
      <c r="D391" s="222">
        <f t="shared" si="28"/>
        <v>10</v>
      </c>
      <c r="E391" s="490">
        <v>43875</v>
      </c>
      <c r="F391" s="491" t="str">
        <f ca="1">DOC</f>
        <v/>
      </c>
      <c r="G391" s="492" t="s">
        <v>407</v>
      </c>
      <c r="H391" s="493" t="s">
        <v>406</v>
      </c>
      <c r="I391" s="494">
        <v>2</v>
      </c>
      <c r="J391" s="495">
        <v>15190</v>
      </c>
      <c r="K391" s="495">
        <v>7750</v>
      </c>
      <c r="L391" s="496">
        <f ca="1">NET</f>
        <v>7440</v>
      </c>
      <c r="M391" s="222" t="str">
        <f ca="1">DL</f>
        <v>LAUT</v>
      </c>
      <c r="Q391" s="346"/>
    </row>
    <row r="392" spans="2:17" ht="15">
      <c r="B392" s="489" t="str">
        <f ca="1">SUPPAJA</f>
        <v>HELMANSYAH</v>
      </c>
      <c r="C392" s="338">
        <f ca="1">IF(COUNTIFS($B$3:B392,DATAKBA[[#This Row],[NAMA SUPP]],$E$3:E392,DATAKBA[[#This Row],[TANGGAL]])&lt;&gt;1,0,1)</f>
        <v>0</v>
      </c>
      <c r="D392" s="222">
        <f t="shared" si="28"/>
        <v>11</v>
      </c>
      <c r="E392" s="490">
        <v>43875</v>
      </c>
      <c r="F392" s="491" t="str">
        <f ca="1">DOC</f>
        <v/>
      </c>
      <c r="G392" s="492" t="s">
        <v>417</v>
      </c>
      <c r="H392" s="493" t="s">
        <v>406</v>
      </c>
      <c r="I392" s="494">
        <v>2</v>
      </c>
      <c r="J392" s="495">
        <v>14280</v>
      </c>
      <c r="K392" s="495">
        <v>7740</v>
      </c>
      <c r="L392" s="496">
        <f ca="1">NET</f>
        <v>6540</v>
      </c>
      <c r="M392" s="222" t="str">
        <f ca="1">DL</f>
        <v>LAUT</v>
      </c>
      <c r="Q392" s="346"/>
    </row>
    <row r="393" spans="2:17" ht="15">
      <c r="B393" s="489" t="str">
        <f ca="1">SUPPAJA</f>
        <v>HENDRI</v>
      </c>
      <c r="C393" s="338">
        <f ca="1">IF(COUNTIFS($B$3:B393,DATAKBA[[#This Row],[NAMA SUPP]],$E$3:E393,DATAKBA[[#This Row],[TANGGAL]])&lt;&gt;1,0,1)</f>
        <v>1</v>
      </c>
      <c r="D393" s="222">
        <f t="shared" si="28"/>
        <v>12</v>
      </c>
      <c r="E393" s="490">
        <v>43875</v>
      </c>
      <c r="F393" s="491" t="str">
        <f ca="1">DOC</f>
        <v>019</v>
      </c>
      <c r="G393" s="492" t="s">
        <v>335</v>
      </c>
      <c r="H393" s="493" t="s">
        <v>255</v>
      </c>
      <c r="I393" s="494">
        <v>4</v>
      </c>
      <c r="J393" s="495">
        <v>31120</v>
      </c>
      <c r="K393" s="495">
        <v>15540</v>
      </c>
      <c r="L393" s="496">
        <f ca="1">NET</f>
        <v>15580</v>
      </c>
      <c r="M393" s="222" t="str">
        <f ca="1">DL</f>
        <v>LAUT</v>
      </c>
      <c r="Q393" s="346"/>
    </row>
    <row r="394" spans="2:17" ht="15">
      <c r="B394" s="489" t="str">
        <f ca="1">SUPPAJA</f>
        <v>MARTONO</v>
      </c>
      <c r="C394" s="338">
        <f ca="1">IF(COUNTIFS($B$3:B394,DATAKBA[[#This Row],[NAMA SUPP]],$E$3:E394,DATAKBA[[#This Row],[TANGGAL]])&lt;&gt;1,0,1)</f>
        <v>1</v>
      </c>
      <c r="D394" s="222">
        <f t="shared" si="28"/>
        <v>13</v>
      </c>
      <c r="E394" s="490">
        <v>43875</v>
      </c>
      <c r="F394" s="491" t="str">
        <f ca="1">DOC</f>
        <v>026</v>
      </c>
      <c r="G394" s="492" t="s">
        <v>278</v>
      </c>
      <c r="H394" s="493" t="s">
        <v>257</v>
      </c>
      <c r="I394" s="494">
        <v>1</v>
      </c>
      <c r="J394" s="495">
        <v>5420</v>
      </c>
      <c r="K394" s="495">
        <v>3860</v>
      </c>
      <c r="L394" s="496">
        <f ca="1">NET</f>
        <v>1560</v>
      </c>
      <c r="M394" s="222" t="str">
        <f ca="1">DL</f>
        <v>LAUT</v>
      </c>
      <c r="Q394" s="346"/>
    </row>
    <row r="395" spans="2:17" ht="15">
      <c r="B395" s="489" t="str">
        <f ca="1">SUPPAJA</f>
        <v>MASRI</v>
      </c>
      <c r="C395" s="338">
        <f ca="1">IF(COUNTIFS($B$3:B395,DATAKBA[[#This Row],[NAMA SUPP]],$E$3:E395,DATAKBA[[#This Row],[TANGGAL]])&lt;&gt;1,0,1)</f>
        <v>1</v>
      </c>
      <c r="D395" s="222">
        <f t="shared" si="28"/>
        <v>14</v>
      </c>
      <c r="E395" s="490">
        <v>43875</v>
      </c>
      <c r="F395" s="491" t="str">
        <f ca="1">DOC</f>
        <v>021</v>
      </c>
      <c r="G395" s="492" t="s">
        <v>357</v>
      </c>
      <c r="H395" s="493" t="s">
        <v>260</v>
      </c>
      <c r="I395" s="494">
        <v>10</v>
      </c>
      <c r="J395" s="495">
        <v>84140</v>
      </c>
      <c r="K395" s="495">
        <v>38820</v>
      </c>
      <c r="L395" s="496">
        <f ca="1">NET</f>
        <v>45320</v>
      </c>
      <c r="M395" s="222" t="str">
        <f ca="1">DL</f>
        <v>LAUT</v>
      </c>
      <c r="Q395" s="346"/>
    </row>
    <row r="396" spans="2:17" ht="15">
      <c r="B396" s="489" t="str">
        <f ca="1">SUPPAJA</f>
        <v>MASRI</v>
      </c>
      <c r="C396" s="338">
        <f ca="1">IF(COUNTIFS($B$3:B396,DATAKBA[[#This Row],[NAMA SUPP]],$E$3:E396,DATAKBA[[#This Row],[TANGGAL]])&lt;&gt;1,0,1)</f>
        <v>0</v>
      </c>
      <c r="D396" s="222">
        <f t="shared" si="28"/>
        <v>15</v>
      </c>
      <c r="E396" s="490">
        <v>43875</v>
      </c>
      <c r="F396" s="497" t="str">
        <f ca="1">DOC</f>
        <v/>
      </c>
      <c r="G396" s="498" t="s">
        <v>336</v>
      </c>
      <c r="H396" s="499" t="s">
        <v>260</v>
      </c>
      <c r="I396" s="500">
        <v>8</v>
      </c>
      <c r="J396" s="495">
        <v>68810</v>
      </c>
      <c r="K396" s="495">
        <v>31150</v>
      </c>
      <c r="L396" s="496">
        <f ca="1">NET</f>
        <v>37660</v>
      </c>
      <c r="M396" s="222" t="str">
        <f ca="1">DL</f>
        <v>LAUT</v>
      </c>
      <c r="Q396" s="346"/>
    </row>
    <row r="397" spans="2:17" ht="15">
      <c r="B397" s="489" t="str">
        <f ca="1">SUPPAJA</f>
        <v>ERAWATI</v>
      </c>
      <c r="C397" s="338">
        <f ca="1">IF(COUNTIFS($B$3:B397,DATAKBA[[#This Row],[NAMA SUPP]],$E$3:E397,DATAKBA[[#This Row],[TANGGAL]])&lt;&gt;1,0,1)</f>
        <v>1</v>
      </c>
      <c r="D397" s="222">
        <f t="shared" ref="D397:D410" si="29">COUNTER_RUDI</f>
        <v>1</v>
      </c>
      <c r="E397" s="490">
        <v>43876</v>
      </c>
      <c r="F397" s="491" t="str">
        <f ca="1">DOC</f>
        <v>033</v>
      </c>
      <c r="G397" s="492" t="s">
        <v>220</v>
      </c>
      <c r="H397" s="493" t="s">
        <v>253</v>
      </c>
      <c r="I397" s="494">
        <v>2</v>
      </c>
      <c r="J397" s="495">
        <v>6030</v>
      </c>
      <c r="K397" s="495">
        <v>3060</v>
      </c>
      <c r="L397" s="496">
        <f ca="1">NET</f>
        <v>2970</v>
      </c>
      <c r="M397" s="222" t="str">
        <f ca="1">DL</f>
        <v>DARAT</v>
      </c>
      <c r="Q397" s="346"/>
    </row>
    <row r="398" spans="2:17" ht="15">
      <c r="B398" s="489" t="str">
        <f ca="1">SUPPAJA</f>
        <v>INDRAYANI</v>
      </c>
      <c r="C398" s="338">
        <f ca="1">IF(COUNTIFS($B$3:B398,DATAKBA[[#This Row],[NAMA SUPP]],$E$3:E398,DATAKBA[[#This Row],[TANGGAL]])&lt;&gt;1,0,1)</f>
        <v>1</v>
      </c>
      <c r="D398" s="222">
        <f t="shared" si="29"/>
        <v>2</v>
      </c>
      <c r="E398" s="490">
        <v>43876</v>
      </c>
      <c r="F398" s="491" t="str">
        <f ca="1">DOC</f>
        <v>029</v>
      </c>
      <c r="G398" s="492" t="s">
        <v>99</v>
      </c>
      <c r="H398" s="493" t="s">
        <v>253</v>
      </c>
      <c r="I398" s="494">
        <v>2</v>
      </c>
      <c r="J398" s="495">
        <v>21160</v>
      </c>
      <c r="K398" s="495">
        <v>7950</v>
      </c>
      <c r="L398" s="496">
        <f ca="1">NET</f>
        <v>13210</v>
      </c>
      <c r="M398" s="222" t="str">
        <f ca="1">DL</f>
        <v>DARAT</v>
      </c>
      <c r="Q398" s="346"/>
    </row>
    <row r="399" spans="2:17" ht="15">
      <c r="B399" s="489" t="str">
        <f ca="1">SUPPAJA</f>
        <v>RUSLAN JAYA, SH</v>
      </c>
      <c r="C399" s="338">
        <f ca="1">IF(COUNTIFS($B$3:B399,DATAKBA[[#This Row],[NAMA SUPP]],$E$3:E399,DATAKBA[[#This Row],[TANGGAL]])&lt;&gt;1,0,1)</f>
        <v>1</v>
      </c>
      <c r="D399" s="222">
        <f t="shared" si="29"/>
        <v>3</v>
      </c>
      <c r="E399" s="490">
        <v>43876</v>
      </c>
      <c r="F399" s="491" t="str">
        <f ca="1">DOC</f>
        <v>020</v>
      </c>
      <c r="G399" s="492" t="s">
        <v>230</v>
      </c>
      <c r="H399" s="493" t="s">
        <v>255</v>
      </c>
      <c r="I399" s="494">
        <v>1</v>
      </c>
      <c r="J399" s="495">
        <v>12310</v>
      </c>
      <c r="K399" s="495">
        <v>4490</v>
      </c>
      <c r="L399" s="496">
        <f ca="1">NET</f>
        <v>7820</v>
      </c>
      <c r="M399" s="222" t="str">
        <f ca="1">DL</f>
        <v>DARAT</v>
      </c>
      <c r="Q399" s="346"/>
    </row>
    <row r="400" spans="2:17" ht="15">
      <c r="B400" s="489" t="str">
        <f ca="1">SUPPAJA</f>
        <v>SAIRI</v>
      </c>
      <c r="C400" s="338">
        <f ca="1">IF(COUNTIFS($B$3:B400,DATAKBA[[#This Row],[NAMA SUPP]],$E$3:E400,DATAKBA[[#This Row],[TANGGAL]])&lt;&gt;1,0,1)</f>
        <v>1</v>
      </c>
      <c r="D400" s="222">
        <f t="shared" si="29"/>
        <v>4</v>
      </c>
      <c r="E400" s="490">
        <v>43876</v>
      </c>
      <c r="F400" s="497" t="str">
        <f ca="1">DOC</f>
        <v>022</v>
      </c>
      <c r="G400" s="498" t="s">
        <v>78</v>
      </c>
      <c r="H400" s="499" t="s">
        <v>267</v>
      </c>
      <c r="I400" s="500">
        <v>1</v>
      </c>
      <c r="J400" s="495">
        <v>4740</v>
      </c>
      <c r="K400" s="495">
        <v>1510</v>
      </c>
      <c r="L400" s="496">
        <f ca="1">NET</f>
        <v>3230</v>
      </c>
      <c r="M400" s="222" t="str">
        <f ca="1">DL</f>
        <v>DARAT</v>
      </c>
      <c r="Q400" s="346"/>
    </row>
    <row r="401" spans="2:17" ht="15">
      <c r="B401" s="489" t="str">
        <f ca="1">SUPPAJA</f>
        <v>DINI CHAIRANI</v>
      </c>
      <c r="C401" s="338">
        <f ca="1">IF(COUNTIFS($B$3:B401,DATAKBA[[#This Row],[NAMA SUPP]],$E$3:E401,DATAKBA[[#This Row],[TANGGAL]])&lt;&gt;1,0,1)</f>
        <v>1</v>
      </c>
      <c r="D401" s="222">
        <f t="shared" si="29"/>
        <v>5</v>
      </c>
      <c r="E401" s="490">
        <v>43876</v>
      </c>
      <c r="F401" s="491" t="str">
        <f ca="1">DOC</f>
        <v>024</v>
      </c>
      <c r="G401" s="492" t="s">
        <v>334</v>
      </c>
      <c r="H401" s="493" t="s">
        <v>268</v>
      </c>
      <c r="I401" s="494">
        <v>2</v>
      </c>
      <c r="J401" s="495">
        <v>15850</v>
      </c>
      <c r="K401" s="495">
        <v>7710</v>
      </c>
      <c r="L401" s="496">
        <f ca="1">NET</f>
        <v>8140</v>
      </c>
      <c r="M401" s="222" t="str">
        <f ca="1">DL</f>
        <v>LAUT</v>
      </c>
      <c r="Q401" s="346"/>
    </row>
    <row r="402" spans="2:17" ht="15">
      <c r="B402" s="489" t="str">
        <f ca="1">SUPPAJA</f>
        <v>DINI CHAIRANI</v>
      </c>
      <c r="C402" s="338">
        <f ca="1">IF(COUNTIFS($B$3:B402,DATAKBA[[#This Row],[NAMA SUPP]],$E$3:E402,DATAKBA[[#This Row],[TANGGAL]])&lt;&gt;1,0,1)</f>
        <v>0</v>
      </c>
      <c r="D402" s="222">
        <f t="shared" si="29"/>
        <v>6</v>
      </c>
      <c r="E402" s="490">
        <v>43876</v>
      </c>
      <c r="F402" s="491" t="str">
        <f ca="1">DOC</f>
        <v/>
      </c>
      <c r="G402" s="492" t="s">
        <v>404</v>
      </c>
      <c r="H402" s="493" t="s">
        <v>268</v>
      </c>
      <c r="I402" s="494">
        <v>1</v>
      </c>
      <c r="J402" s="495">
        <v>7600</v>
      </c>
      <c r="K402" s="495">
        <v>3880</v>
      </c>
      <c r="L402" s="496">
        <f ca="1">NET</f>
        <v>3720</v>
      </c>
      <c r="M402" s="222" t="str">
        <f ca="1">DL</f>
        <v>LAUT</v>
      </c>
      <c r="Q402" s="346"/>
    </row>
    <row r="403" spans="2:17" ht="15">
      <c r="B403" s="489" t="str">
        <f ca="1">SUPPAJA</f>
        <v>HELMANSYAH</v>
      </c>
      <c r="C403" s="338">
        <f ca="1">IF(COUNTIFS($B$3:B403,DATAKBA[[#This Row],[NAMA SUPP]],$E$3:E403,DATAKBA[[#This Row],[TANGGAL]])&lt;&gt;1,0,1)</f>
        <v>1</v>
      </c>
      <c r="D403" s="222">
        <f t="shared" si="29"/>
        <v>7</v>
      </c>
      <c r="E403" s="490">
        <v>43876</v>
      </c>
      <c r="F403" s="491" t="str">
        <f ca="1">DOC</f>
        <v>003</v>
      </c>
      <c r="G403" s="492" t="s">
        <v>407</v>
      </c>
      <c r="H403" s="493" t="s">
        <v>406</v>
      </c>
      <c r="I403" s="494">
        <v>2</v>
      </c>
      <c r="J403" s="495">
        <v>15180</v>
      </c>
      <c r="K403" s="495">
        <v>7740</v>
      </c>
      <c r="L403" s="496">
        <f ca="1">NET</f>
        <v>7440</v>
      </c>
      <c r="M403" s="222" t="str">
        <f ca="1">DL</f>
        <v>LAUT</v>
      </c>
      <c r="Q403" s="346"/>
    </row>
    <row r="404" spans="2:17" ht="15">
      <c r="B404" s="489" t="str">
        <f ca="1">SUPPAJA</f>
        <v>HELMANSYAH</v>
      </c>
      <c r="C404" s="338">
        <f ca="1">IF(COUNTIFS($B$3:B404,DATAKBA[[#This Row],[NAMA SUPP]],$E$3:E404,DATAKBA[[#This Row],[TANGGAL]])&lt;&gt;1,0,1)</f>
        <v>0</v>
      </c>
      <c r="D404" s="222">
        <f t="shared" si="29"/>
        <v>8</v>
      </c>
      <c r="E404" s="490">
        <v>43876</v>
      </c>
      <c r="F404" s="491" t="str">
        <f ca="1">DOC</f>
        <v/>
      </c>
      <c r="G404" s="492" t="s">
        <v>418</v>
      </c>
      <c r="H404" s="493" t="s">
        <v>406</v>
      </c>
      <c r="I404" s="494">
        <v>2</v>
      </c>
      <c r="J404" s="495">
        <v>15260</v>
      </c>
      <c r="K404" s="495">
        <v>7750</v>
      </c>
      <c r="L404" s="496">
        <f ca="1">NET</f>
        <v>7510</v>
      </c>
      <c r="M404" s="222" t="str">
        <f ca="1">DL</f>
        <v>LAUT</v>
      </c>
      <c r="Q404" s="346"/>
    </row>
    <row r="405" spans="2:17" ht="15">
      <c r="B405" s="489" t="str">
        <f ca="1">SUPPAJA</f>
        <v>HELMANSYAH</v>
      </c>
      <c r="C405" s="338">
        <f ca="1">IF(COUNTIFS($B$3:B405,DATAKBA[[#This Row],[NAMA SUPP]],$E$3:E405,DATAKBA[[#This Row],[TANGGAL]])&lt;&gt;1,0,1)</f>
        <v>0</v>
      </c>
      <c r="D405" s="222">
        <f t="shared" si="29"/>
        <v>9</v>
      </c>
      <c r="E405" s="490">
        <v>43876</v>
      </c>
      <c r="F405" s="491" t="str">
        <f ca="1">DOC</f>
        <v/>
      </c>
      <c r="G405" s="492" t="s">
        <v>419</v>
      </c>
      <c r="H405" s="493" t="s">
        <v>406</v>
      </c>
      <c r="I405" s="494">
        <v>5</v>
      </c>
      <c r="J405" s="495">
        <v>39250</v>
      </c>
      <c r="K405" s="495">
        <v>19400</v>
      </c>
      <c r="L405" s="496">
        <f ca="1">NET</f>
        <v>19850</v>
      </c>
      <c r="M405" s="222" t="str">
        <f ca="1">DL</f>
        <v>LAUT</v>
      </c>
      <c r="Q405" s="346"/>
    </row>
    <row r="406" spans="2:17" ht="15">
      <c r="B406" s="489" t="str">
        <f ca="1">SUPPAJA</f>
        <v>HELMANSYAH</v>
      </c>
      <c r="C406" s="338">
        <f ca="1">IF(COUNTIFS($B$3:B406,DATAKBA[[#This Row],[NAMA SUPP]],$E$3:E406,DATAKBA[[#This Row],[TANGGAL]])&lt;&gt;1,0,1)</f>
        <v>0</v>
      </c>
      <c r="D406" s="222">
        <f t="shared" si="29"/>
        <v>10</v>
      </c>
      <c r="E406" s="490">
        <v>43876</v>
      </c>
      <c r="F406" s="491" t="str">
        <f ca="1">DOC</f>
        <v/>
      </c>
      <c r="G406" s="492" t="s">
        <v>420</v>
      </c>
      <c r="H406" s="493" t="s">
        <v>406</v>
      </c>
      <c r="I406" s="494">
        <v>5</v>
      </c>
      <c r="J406" s="495">
        <v>44120</v>
      </c>
      <c r="K406" s="495">
        <v>19520</v>
      </c>
      <c r="L406" s="496">
        <f ca="1">NET</f>
        <v>24600</v>
      </c>
      <c r="M406" s="222" t="str">
        <f ca="1">DL</f>
        <v>LAUT</v>
      </c>
      <c r="Q406" s="346"/>
    </row>
    <row r="407" spans="2:17" ht="15">
      <c r="B407" s="489" t="str">
        <f ca="1">SUPPAJA</f>
        <v>HELMANSYAH</v>
      </c>
      <c r="C407" s="338">
        <f ca="1">IF(COUNTIFS($B$3:B407,DATAKBA[[#This Row],[NAMA SUPP]],$E$3:E407,DATAKBA[[#This Row],[TANGGAL]])&lt;&gt;1,0,1)</f>
        <v>0</v>
      </c>
      <c r="D407" s="222">
        <f t="shared" si="29"/>
        <v>11</v>
      </c>
      <c r="E407" s="490">
        <v>43876</v>
      </c>
      <c r="F407" s="491" t="str">
        <f ca="1">DOC</f>
        <v/>
      </c>
      <c r="G407" s="492" t="s">
        <v>410</v>
      </c>
      <c r="H407" s="493" t="s">
        <v>406</v>
      </c>
      <c r="I407" s="494">
        <v>2</v>
      </c>
      <c r="J407" s="495">
        <v>15820</v>
      </c>
      <c r="K407" s="495">
        <v>7720</v>
      </c>
      <c r="L407" s="496">
        <f ca="1">NET</f>
        <v>8100</v>
      </c>
      <c r="M407" s="222" t="str">
        <f ca="1">DL</f>
        <v>LAUT</v>
      </c>
      <c r="Q407" s="346"/>
    </row>
    <row r="408" spans="2:17" ht="15">
      <c r="B408" s="489" t="str">
        <f ca="1">SUPPAJA</f>
        <v>MARTONO</v>
      </c>
      <c r="C408" s="338">
        <f ca="1">IF(COUNTIFS($B$3:B408,DATAKBA[[#This Row],[NAMA SUPP]],$E$3:E408,DATAKBA[[#This Row],[TANGGAL]])&lt;&gt;1,0,1)</f>
        <v>1</v>
      </c>
      <c r="D408" s="222">
        <f t="shared" si="29"/>
        <v>12</v>
      </c>
      <c r="E408" s="490">
        <v>43876</v>
      </c>
      <c r="F408" s="491" t="str">
        <f ca="1">DOC</f>
        <v>027</v>
      </c>
      <c r="G408" s="492" t="s">
        <v>421</v>
      </c>
      <c r="H408" s="493" t="s">
        <v>257</v>
      </c>
      <c r="I408" s="494">
        <v>1</v>
      </c>
      <c r="J408" s="495">
        <v>7120</v>
      </c>
      <c r="K408" s="495">
        <v>3900</v>
      </c>
      <c r="L408" s="496">
        <f ca="1">NET</f>
        <v>3220</v>
      </c>
      <c r="M408" s="222" t="str">
        <f ca="1">DL</f>
        <v>LAUT</v>
      </c>
      <c r="Q408" s="346"/>
    </row>
    <row r="409" spans="2:17" ht="15">
      <c r="B409" s="489" t="str">
        <f ca="1">SUPPAJA</f>
        <v>MASRI</v>
      </c>
      <c r="C409" s="338">
        <f ca="1">IF(COUNTIFS($B$3:B409,DATAKBA[[#This Row],[NAMA SUPP]],$E$3:E409,DATAKBA[[#This Row],[TANGGAL]])&lt;&gt;1,0,1)</f>
        <v>1</v>
      </c>
      <c r="D409" s="222">
        <f t="shared" si="29"/>
        <v>13</v>
      </c>
      <c r="E409" s="490">
        <v>43876</v>
      </c>
      <c r="F409" s="491" t="str">
        <f ca="1">DOC</f>
        <v>022</v>
      </c>
      <c r="G409" s="492" t="s">
        <v>336</v>
      </c>
      <c r="H409" s="493" t="s">
        <v>260</v>
      </c>
      <c r="I409" s="494">
        <v>8</v>
      </c>
      <c r="J409" s="495">
        <v>69500</v>
      </c>
      <c r="K409" s="495">
        <v>30790</v>
      </c>
      <c r="L409" s="496">
        <f ca="1">NET</f>
        <v>38710</v>
      </c>
      <c r="M409" s="222" t="str">
        <f ca="1">DL</f>
        <v>LAUT</v>
      </c>
      <c r="Q409" s="346"/>
    </row>
    <row r="410" spans="2:17" ht="15">
      <c r="B410" s="489" t="str">
        <f ca="1">SUPPAJA</f>
        <v>YANADI</v>
      </c>
      <c r="C410" s="338">
        <f ca="1">IF(COUNTIFS($B$3:B410,DATAKBA[[#This Row],[NAMA SUPP]],$E$3:E410,DATAKBA[[#This Row],[TANGGAL]])&lt;&gt;1,0,1)</f>
        <v>1</v>
      </c>
      <c r="D410" s="222">
        <f t="shared" si="29"/>
        <v>14</v>
      </c>
      <c r="E410" s="490">
        <v>43876</v>
      </c>
      <c r="F410" s="497" t="str">
        <f ca="1">DOC</f>
        <v>022</v>
      </c>
      <c r="G410" s="498" t="s">
        <v>413</v>
      </c>
      <c r="H410" s="499" t="s">
        <v>265</v>
      </c>
      <c r="I410" s="500">
        <v>1</v>
      </c>
      <c r="J410" s="495">
        <v>6910</v>
      </c>
      <c r="K410" s="495">
        <v>3860</v>
      </c>
      <c r="L410" s="496">
        <f ca="1">NET</f>
        <v>3050</v>
      </c>
      <c r="M410" s="222" t="str">
        <f ca="1">DL</f>
        <v>LAUT</v>
      </c>
      <c r="Q410" s="346"/>
    </row>
    <row r="411" spans="2:17" ht="15">
      <c r="B411" s="489" t="str">
        <f ca="1">SUPPAJA</f>
        <v>ERAWATI</v>
      </c>
      <c r="C411" s="338">
        <f ca="1">IF(COUNTIFS($B$3:B411,DATAKBA[[#This Row],[NAMA SUPP]],$E$3:E411,DATAKBA[[#This Row],[TANGGAL]])&lt;&gt;1,0,1)</f>
        <v>1</v>
      </c>
      <c r="D411" s="222">
        <f t="shared" ref="D411:D427" si="30">COUNTER_RUDI</f>
        <v>1</v>
      </c>
      <c r="E411" s="490">
        <v>43878</v>
      </c>
      <c r="F411" s="491" t="str">
        <f ca="1">DOC</f>
        <v>034</v>
      </c>
      <c r="G411" s="492" t="s">
        <v>220</v>
      </c>
      <c r="H411" s="493" t="s">
        <v>253</v>
      </c>
      <c r="I411" s="494">
        <v>4</v>
      </c>
      <c r="J411" s="495">
        <v>30900</v>
      </c>
      <c r="K411" s="495">
        <v>13120</v>
      </c>
      <c r="L411" s="496">
        <f ca="1">NET</f>
        <v>17780</v>
      </c>
      <c r="M411" s="222" t="str">
        <f ca="1">DL</f>
        <v>DARAT</v>
      </c>
      <c r="Q411" s="346"/>
    </row>
    <row r="412" spans="2:17" ht="15">
      <c r="B412" s="489" t="str">
        <f ca="1">SUPPAJA</f>
        <v>ERAWATI</v>
      </c>
      <c r="C412" s="338">
        <f ca="1">IF(COUNTIFS($B$3:B412,DATAKBA[[#This Row],[NAMA SUPP]],$E$3:E412,DATAKBA[[#This Row],[TANGGAL]])&lt;&gt;1,0,1)</f>
        <v>0</v>
      </c>
      <c r="D412" s="222">
        <f t="shared" si="30"/>
        <v>2</v>
      </c>
      <c r="E412" s="490">
        <v>43878</v>
      </c>
      <c r="F412" s="491" t="str">
        <f ca="1">DOC</f>
        <v/>
      </c>
      <c r="G412" s="492" t="s">
        <v>325</v>
      </c>
      <c r="H412" s="493" t="s">
        <v>253</v>
      </c>
      <c r="I412" s="494">
        <v>1</v>
      </c>
      <c r="J412" s="495">
        <v>7580</v>
      </c>
      <c r="K412" s="495">
        <v>3950</v>
      </c>
      <c r="L412" s="496">
        <f ca="1">NET</f>
        <v>3630</v>
      </c>
      <c r="M412" s="222" t="str">
        <f ca="1">DL</f>
        <v>LAUT</v>
      </c>
      <c r="Q412" s="346"/>
    </row>
    <row r="413" spans="2:17" ht="15">
      <c r="B413" s="489" t="str">
        <f ca="1">SUPPAJA</f>
        <v>INDRAYANI</v>
      </c>
      <c r="C413" s="338">
        <f ca="1">IF(COUNTIFS($B$3:B413,DATAKBA[[#This Row],[NAMA SUPP]],$E$3:E413,DATAKBA[[#This Row],[TANGGAL]])&lt;&gt;1,0,1)</f>
        <v>1</v>
      </c>
      <c r="D413" s="222">
        <f t="shared" si="30"/>
        <v>3</v>
      </c>
      <c r="E413" s="490">
        <v>43878</v>
      </c>
      <c r="F413" s="491" t="str">
        <f ca="1">DOC</f>
        <v>030</v>
      </c>
      <c r="G413" s="492" t="s">
        <v>99</v>
      </c>
      <c r="H413" s="493" t="s">
        <v>253</v>
      </c>
      <c r="I413" s="494">
        <v>4</v>
      </c>
      <c r="J413" s="495">
        <v>46220</v>
      </c>
      <c r="K413" s="495">
        <v>16890</v>
      </c>
      <c r="L413" s="496">
        <f ca="1">NET</f>
        <v>29330</v>
      </c>
      <c r="M413" s="222" t="str">
        <f ca="1">DL</f>
        <v>DARAT</v>
      </c>
      <c r="Q413" s="346"/>
    </row>
    <row r="414" spans="2:17" ht="15">
      <c r="B414" s="489" t="str">
        <f ca="1">SUPPAJA</f>
        <v>RUSLAN JAYA, SH</v>
      </c>
      <c r="C414" s="338">
        <f ca="1">IF(COUNTIFS($B$3:B414,DATAKBA[[#This Row],[NAMA SUPP]],$E$3:E414,DATAKBA[[#This Row],[TANGGAL]])&lt;&gt;1,0,1)</f>
        <v>1</v>
      </c>
      <c r="D414" s="222">
        <f t="shared" si="30"/>
        <v>4</v>
      </c>
      <c r="E414" s="490">
        <v>43878</v>
      </c>
      <c r="F414" s="491" t="str">
        <f ca="1">DOC</f>
        <v>021</v>
      </c>
      <c r="G414" s="492" t="s">
        <v>230</v>
      </c>
      <c r="H414" s="493" t="s">
        <v>255</v>
      </c>
      <c r="I414" s="494">
        <v>3</v>
      </c>
      <c r="J414" s="495">
        <v>32760</v>
      </c>
      <c r="K414" s="495">
        <v>12860</v>
      </c>
      <c r="L414" s="496">
        <f ca="1">NET</f>
        <v>19900</v>
      </c>
      <c r="M414" s="222" t="str">
        <f ca="1">DL</f>
        <v>DARAT</v>
      </c>
      <c r="Q414" s="346"/>
    </row>
    <row r="415" spans="2:17" ht="15">
      <c r="B415" s="489" t="str">
        <f ca="1">SUPPAJA</f>
        <v>SAIRI</v>
      </c>
      <c r="C415" s="338">
        <f ca="1">IF(COUNTIFS($B$3:B415,DATAKBA[[#This Row],[NAMA SUPP]],$E$3:E415,DATAKBA[[#This Row],[TANGGAL]])&lt;&gt;1,0,1)</f>
        <v>1</v>
      </c>
      <c r="D415" s="222">
        <f t="shared" si="30"/>
        <v>5</v>
      </c>
      <c r="E415" s="490">
        <v>43878</v>
      </c>
      <c r="F415" s="497" t="str">
        <f ca="1">DOC</f>
        <v>023</v>
      </c>
      <c r="G415" s="498" t="s">
        <v>78</v>
      </c>
      <c r="H415" s="499" t="s">
        <v>267</v>
      </c>
      <c r="I415" s="500">
        <v>1</v>
      </c>
      <c r="J415" s="495">
        <v>3830</v>
      </c>
      <c r="K415" s="495">
        <v>1570</v>
      </c>
      <c r="L415" s="496">
        <f ca="1">NET</f>
        <v>2260</v>
      </c>
      <c r="M415" s="222" t="str">
        <f ca="1">DL</f>
        <v>DARAT</v>
      </c>
      <c r="Q415" s="346"/>
    </row>
    <row r="416" spans="2:17" ht="15">
      <c r="B416" s="489" t="str">
        <f ca="1">SUPPAJA</f>
        <v>YANADI</v>
      </c>
      <c r="C416" s="338">
        <f ca="1">IF(COUNTIFS($B$3:B416,DATAKBA[[#This Row],[NAMA SUPP]],$E$3:E416,DATAKBA[[#This Row],[TANGGAL]])&lt;&gt;1,0,1)</f>
        <v>1</v>
      </c>
      <c r="D416" s="222">
        <f t="shared" si="30"/>
        <v>6</v>
      </c>
      <c r="E416" s="490">
        <v>43878</v>
      </c>
      <c r="F416" s="491" t="str">
        <f ca="1">DOC</f>
        <v>023</v>
      </c>
      <c r="G416" s="492" t="s">
        <v>137</v>
      </c>
      <c r="H416" s="493" t="s">
        <v>265</v>
      </c>
      <c r="I416" s="494">
        <v>1</v>
      </c>
      <c r="J416" s="495">
        <v>15230</v>
      </c>
      <c r="K416" s="495">
        <v>5390</v>
      </c>
      <c r="L416" s="496">
        <f ca="1">NET</f>
        <v>9840</v>
      </c>
      <c r="M416" s="222" t="str">
        <f ca="1">DL</f>
        <v>DARAT</v>
      </c>
      <c r="Q416" s="346"/>
    </row>
    <row r="417" spans="2:17" ht="15">
      <c r="B417" s="489" t="str">
        <f ca="1">SUPPAJA</f>
        <v>YANADI</v>
      </c>
      <c r="C417" s="338">
        <f ca="1">IF(COUNTIFS($B$3:B417,DATAKBA[[#This Row],[NAMA SUPP]],$E$3:E417,DATAKBA[[#This Row],[TANGGAL]])&lt;&gt;1,0,1)</f>
        <v>0</v>
      </c>
      <c r="D417" s="222">
        <f t="shared" si="30"/>
        <v>7</v>
      </c>
      <c r="E417" s="490">
        <v>43878</v>
      </c>
      <c r="F417" s="497" t="str">
        <f ca="1">DOC</f>
        <v/>
      </c>
      <c r="G417" s="498" t="s">
        <v>374</v>
      </c>
      <c r="H417" s="499" t="s">
        <v>265</v>
      </c>
      <c r="I417" s="500">
        <v>3</v>
      </c>
      <c r="J417" s="495">
        <v>22760</v>
      </c>
      <c r="K417" s="495">
        <v>11660</v>
      </c>
      <c r="L417" s="496">
        <f ca="1">NET</f>
        <v>11100</v>
      </c>
      <c r="M417" s="222" t="str">
        <f ca="1">DL</f>
        <v>LAUT</v>
      </c>
      <c r="Q417" s="346"/>
    </row>
    <row r="418" spans="2:17" ht="15">
      <c r="B418" s="489" t="str">
        <f ca="1">SUPPAJA</f>
        <v>DINI CHAIRANI</v>
      </c>
      <c r="C418" s="338">
        <f ca="1">IF(COUNTIFS($B$3:B418,DATAKBA[[#This Row],[NAMA SUPP]],$E$3:E418,DATAKBA[[#This Row],[TANGGAL]])&lt;&gt;1,0,1)</f>
        <v>1</v>
      </c>
      <c r="D418" s="222">
        <f t="shared" si="30"/>
        <v>8</v>
      </c>
      <c r="E418" s="490">
        <v>43878</v>
      </c>
      <c r="F418" s="497" t="str">
        <f ca="1">DOC</f>
        <v>025</v>
      </c>
      <c r="G418" s="498" t="s">
        <v>404</v>
      </c>
      <c r="H418" s="499" t="s">
        <v>268</v>
      </c>
      <c r="I418" s="500">
        <v>1</v>
      </c>
      <c r="J418" s="495">
        <v>6700</v>
      </c>
      <c r="K418" s="495">
        <v>3890</v>
      </c>
      <c r="L418" s="496">
        <f ca="1">NET</f>
        <v>2810</v>
      </c>
      <c r="M418" s="222" t="str">
        <f ca="1">DL</f>
        <v>LAUT</v>
      </c>
      <c r="Q418" s="346"/>
    </row>
    <row r="419" spans="2:17" ht="15">
      <c r="B419" s="489" t="str">
        <f ca="1">SUPPAJA</f>
        <v>HELMANSYAH</v>
      </c>
      <c r="C419" s="338">
        <f ca="1">IF(COUNTIFS($B$3:B419,DATAKBA[[#This Row],[NAMA SUPP]],$E$3:E419,DATAKBA[[#This Row],[TANGGAL]])&lt;&gt;1,0,1)</f>
        <v>1</v>
      </c>
      <c r="D419" s="222">
        <f t="shared" si="30"/>
        <v>9</v>
      </c>
      <c r="E419" s="490">
        <v>43878</v>
      </c>
      <c r="F419" s="491" t="str">
        <f ca="1">DOC</f>
        <v>004</v>
      </c>
      <c r="G419" s="492" t="s">
        <v>416</v>
      </c>
      <c r="H419" s="493" t="s">
        <v>406</v>
      </c>
      <c r="I419" s="494">
        <v>1</v>
      </c>
      <c r="J419" s="495">
        <v>9040</v>
      </c>
      <c r="K419" s="495">
        <v>3800</v>
      </c>
      <c r="L419" s="496">
        <f ca="1">NET</f>
        <v>5240</v>
      </c>
      <c r="M419" s="222" t="str">
        <f ca="1">DL</f>
        <v>LAUT</v>
      </c>
      <c r="Q419" s="346"/>
    </row>
    <row r="420" spans="2:17" ht="15">
      <c r="B420" s="489" t="str">
        <f ca="1">SUPPAJA</f>
        <v>HELMANSYAH</v>
      </c>
      <c r="C420" s="338">
        <f ca="1">IF(COUNTIFS($B$3:B420,DATAKBA[[#This Row],[NAMA SUPP]],$E$3:E420,DATAKBA[[#This Row],[TANGGAL]])&lt;&gt;1,0,1)</f>
        <v>0</v>
      </c>
      <c r="D420" s="222">
        <f t="shared" si="30"/>
        <v>10</v>
      </c>
      <c r="E420" s="490">
        <v>43878</v>
      </c>
      <c r="F420" s="491" t="str">
        <f ca="1">DOC</f>
        <v/>
      </c>
      <c r="G420" s="492" t="s">
        <v>418</v>
      </c>
      <c r="H420" s="493" t="s">
        <v>406</v>
      </c>
      <c r="I420" s="494">
        <v>2</v>
      </c>
      <c r="J420" s="495">
        <v>16010</v>
      </c>
      <c r="K420" s="495">
        <v>7830</v>
      </c>
      <c r="L420" s="496">
        <f ca="1">NET</f>
        <v>8180</v>
      </c>
      <c r="M420" s="222" t="str">
        <f ca="1">DL</f>
        <v>LAUT</v>
      </c>
      <c r="Q420" s="346"/>
    </row>
    <row r="421" spans="2:17" ht="15">
      <c r="B421" s="489" t="str">
        <f ca="1">SUPPAJA</f>
        <v>HELMANSYAH</v>
      </c>
      <c r="C421" s="338">
        <f ca="1">IF(COUNTIFS($B$3:B421,DATAKBA[[#This Row],[NAMA SUPP]],$E$3:E421,DATAKBA[[#This Row],[TANGGAL]])&lt;&gt;1,0,1)</f>
        <v>0</v>
      </c>
      <c r="D421" s="222">
        <f t="shared" si="30"/>
        <v>11</v>
      </c>
      <c r="E421" s="490">
        <v>43878</v>
      </c>
      <c r="F421" s="491" t="str">
        <f ca="1">DOC</f>
        <v/>
      </c>
      <c r="G421" s="492" t="s">
        <v>423</v>
      </c>
      <c r="H421" s="493" t="s">
        <v>406</v>
      </c>
      <c r="I421" s="494">
        <v>2</v>
      </c>
      <c r="J421" s="495">
        <v>15300</v>
      </c>
      <c r="K421" s="495">
        <v>7660</v>
      </c>
      <c r="L421" s="496">
        <f ca="1">NET</f>
        <v>7640</v>
      </c>
      <c r="M421" s="222" t="str">
        <f ca="1">DL</f>
        <v>LAUT</v>
      </c>
      <c r="Q421" s="346"/>
    </row>
    <row r="422" spans="2:17" ht="15">
      <c r="B422" s="489" t="str">
        <f ca="1">SUPPAJA</f>
        <v>HELMANSYAH</v>
      </c>
      <c r="C422" s="338">
        <f ca="1">IF(COUNTIFS($B$3:B422,DATAKBA[[#This Row],[NAMA SUPP]],$E$3:E422,DATAKBA[[#This Row],[TANGGAL]])&lt;&gt;1,0,1)</f>
        <v>0</v>
      </c>
      <c r="D422" s="222">
        <f t="shared" si="30"/>
        <v>12</v>
      </c>
      <c r="E422" s="490">
        <v>43878</v>
      </c>
      <c r="F422" s="491" t="str">
        <f ca="1">DOC</f>
        <v/>
      </c>
      <c r="G422" s="492" t="s">
        <v>409</v>
      </c>
      <c r="H422" s="493" t="s">
        <v>406</v>
      </c>
      <c r="I422" s="494">
        <v>2</v>
      </c>
      <c r="J422" s="495">
        <v>16700</v>
      </c>
      <c r="K422" s="495">
        <v>7830</v>
      </c>
      <c r="L422" s="496">
        <f ca="1">NET</f>
        <v>8870</v>
      </c>
      <c r="M422" s="222" t="str">
        <f ca="1">DL</f>
        <v>LAUT</v>
      </c>
      <c r="Q422" s="346"/>
    </row>
    <row r="423" spans="2:17" ht="15">
      <c r="B423" s="489" t="str">
        <f ca="1">SUPPAJA</f>
        <v>HELMANSYAH</v>
      </c>
      <c r="C423" s="338">
        <f ca="1">IF(COUNTIFS($B$3:B423,DATAKBA[[#This Row],[NAMA SUPP]],$E$3:E423,DATAKBA[[#This Row],[TANGGAL]])&lt;&gt;1,0,1)</f>
        <v>0</v>
      </c>
      <c r="D423" s="222">
        <f t="shared" si="30"/>
        <v>13</v>
      </c>
      <c r="E423" s="490">
        <v>43878</v>
      </c>
      <c r="F423" s="491" t="str">
        <f ca="1">DOC</f>
        <v/>
      </c>
      <c r="G423" s="492" t="s">
        <v>410</v>
      </c>
      <c r="H423" s="493" t="s">
        <v>406</v>
      </c>
      <c r="I423" s="494">
        <v>2</v>
      </c>
      <c r="J423" s="495">
        <v>15260</v>
      </c>
      <c r="K423" s="495">
        <v>7810</v>
      </c>
      <c r="L423" s="496">
        <f ca="1">NET</f>
        <v>7450</v>
      </c>
      <c r="M423" s="222" t="str">
        <f ca="1">DL</f>
        <v>LAUT</v>
      </c>
      <c r="Q423" s="346"/>
    </row>
    <row r="424" spans="2:17" ht="15">
      <c r="B424" s="489" t="str">
        <f ca="1">SUPPAJA</f>
        <v>HENDRY JOHANES</v>
      </c>
      <c r="C424" s="338">
        <f ca="1">IF(COUNTIFS($B$3:B424,DATAKBA[[#This Row],[NAMA SUPP]],$E$3:E424,DATAKBA[[#This Row],[TANGGAL]])&lt;&gt;1,0,1)</f>
        <v>1</v>
      </c>
      <c r="D424" s="222">
        <f t="shared" si="30"/>
        <v>14</v>
      </c>
      <c r="E424" s="490">
        <v>43878</v>
      </c>
      <c r="F424" s="491" t="str">
        <f ca="1">DOC</f>
        <v>004</v>
      </c>
      <c r="G424" s="492" t="s">
        <v>388</v>
      </c>
      <c r="H424" s="493" t="s">
        <v>340</v>
      </c>
      <c r="I424" s="494">
        <v>6</v>
      </c>
      <c r="J424" s="495">
        <v>51420</v>
      </c>
      <c r="K424" s="495">
        <v>23240</v>
      </c>
      <c r="L424" s="496">
        <f ca="1">NET</f>
        <v>28180</v>
      </c>
      <c r="M424" s="222" t="str">
        <f ca="1">DL</f>
        <v>LAUT</v>
      </c>
      <c r="Q424" s="346"/>
    </row>
    <row r="425" spans="2:17" ht="15">
      <c r="B425" s="489" t="str">
        <f ca="1">SUPPAJA</f>
        <v>MARTONO</v>
      </c>
      <c r="C425" s="338">
        <f ca="1">IF(COUNTIFS($B$3:B425,DATAKBA[[#This Row],[NAMA SUPP]],$E$3:E425,DATAKBA[[#This Row],[TANGGAL]])&lt;&gt;1,0,1)</f>
        <v>1</v>
      </c>
      <c r="D425" s="222">
        <f t="shared" si="30"/>
        <v>15</v>
      </c>
      <c r="E425" s="490">
        <v>43878</v>
      </c>
      <c r="F425" s="491" t="str">
        <f ca="1">DOC</f>
        <v>028</v>
      </c>
      <c r="G425" s="492" t="s">
        <v>326</v>
      </c>
      <c r="H425" s="493" t="s">
        <v>257</v>
      </c>
      <c r="I425" s="494">
        <v>3</v>
      </c>
      <c r="J425" s="495">
        <v>22480</v>
      </c>
      <c r="K425" s="495">
        <v>11550</v>
      </c>
      <c r="L425" s="496">
        <f ca="1">NET</f>
        <v>10930</v>
      </c>
      <c r="M425" s="222" t="str">
        <f ca="1">DL</f>
        <v>LAUT</v>
      </c>
      <c r="Q425" s="346"/>
    </row>
    <row r="426" spans="2:17" ht="15">
      <c r="B426" s="489" t="str">
        <f ca="1">SUPPAJA</f>
        <v>SUKAMTO</v>
      </c>
      <c r="C426" s="338">
        <f ca="1">IF(COUNTIFS($B$3:B426,DATAKBA[[#This Row],[NAMA SUPP]],$E$3:E426,DATAKBA[[#This Row],[TANGGAL]])&lt;&gt;1,0,1)</f>
        <v>1</v>
      </c>
      <c r="D426" s="222">
        <f t="shared" si="30"/>
        <v>16</v>
      </c>
      <c r="E426" s="490">
        <v>43878</v>
      </c>
      <c r="F426" s="497" t="str">
        <f ca="1">DOC</f>
        <v>012</v>
      </c>
      <c r="G426" s="498" t="s">
        <v>395</v>
      </c>
      <c r="H426" s="499" t="s">
        <v>275</v>
      </c>
      <c r="I426" s="500">
        <v>1</v>
      </c>
      <c r="J426" s="495">
        <v>8110</v>
      </c>
      <c r="K426" s="495">
        <v>3890</v>
      </c>
      <c r="L426" s="496">
        <f ca="1">NET</f>
        <v>4220</v>
      </c>
      <c r="M426" s="222" t="str">
        <f ca="1">DL</f>
        <v>LAUT</v>
      </c>
      <c r="Q426" s="346"/>
    </row>
    <row r="427" spans="2:17" ht="15">
      <c r="B427" s="489" t="str">
        <f ca="1">SUPPAJA</f>
        <v>ZAINAL ABIDIN</v>
      </c>
      <c r="C427" s="338">
        <f ca="1">IF(COUNTIFS($B$3:B427,DATAKBA[[#This Row],[NAMA SUPP]],$E$3:E427,DATAKBA[[#This Row],[TANGGAL]])&lt;&gt;1,0,1)</f>
        <v>1</v>
      </c>
      <c r="D427" s="222">
        <f t="shared" si="30"/>
        <v>17</v>
      </c>
      <c r="E427" s="490">
        <v>43878</v>
      </c>
      <c r="F427" s="497" t="str">
        <f ca="1">DOC</f>
        <v>004</v>
      </c>
      <c r="G427" s="498" t="s">
        <v>324</v>
      </c>
      <c r="H427" s="499" t="s">
        <v>275</v>
      </c>
      <c r="I427" s="500">
        <v>3</v>
      </c>
      <c r="J427" s="495">
        <v>24790</v>
      </c>
      <c r="K427" s="495">
        <v>11610</v>
      </c>
      <c r="L427" s="496">
        <f ca="1">NET</f>
        <v>13180</v>
      </c>
      <c r="M427" s="222" t="str">
        <f ca="1">DL</f>
        <v>LAUT</v>
      </c>
      <c r="Q427" s="346"/>
    </row>
    <row r="428" spans="2:17" ht="15">
      <c r="B428" s="489" t="str">
        <f ca="1">SUPPAJA</f>
        <v>ERAWATI</v>
      </c>
      <c r="C428" s="338">
        <f ca="1">IF(COUNTIFS($B$3:B428,DATAKBA[[#This Row],[NAMA SUPP]],$E$3:E428,DATAKBA[[#This Row],[TANGGAL]])&lt;&gt;1,0,1)</f>
        <v>1</v>
      </c>
      <c r="D428" s="222">
        <f t="shared" ref="D428:D434" si="31">COUNTER_RUDI</f>
        <v>1</v>
      </c>
      <c r="E428" s="490">
        <v>43879</v>
      </c>
      <c r="F428" s="491" t="str">
        <f ca="1">DOC</f>
        <v>035</v>
      </c>
      <c r="G428" s="492" t="s">
        <v>220</v>
      </c>
      <c r="H428" s="493" t="s">
        <v>253</v>
      </c>
      <c r="I428" s="494">
        <v>5</v>
      </c>
      <c r="J428" s="495">
        <v>40400</v>
      </c>
      <c r="K428" s="495">
        <v>21970</v>
      </c>
      <c r="L428" s="496">
        <f ca="1">NET</f>
        <v>18430</v>
      </c>
      <c r="M428" s="222" t="str">
        <f ca="1">DL</f>
        <v>DARAT</v>
      </c>
      <c r="Q428" s="346"/>
    </row>
    <row r="429" spans="2:17" ht="15">
      <c r="B429" s="489" t="str">
        <f ca="1">SUPPAJA</f>
        <v>INDRAYANI</v>
      </c>
      <c r="C429" s="338">
        <f ca="1">IF(COUNTIFS($B$3:B429,DATAKBA[[#This Row],[NAMA SUPP]],$E$3:E429,DATAKBA[[#This Row],[TANGGAL]])&lt;&gt;1,0,1)</f>
        <v>1</v>
      </c>
      <c r="D429" s="222">
        <f t="shared" si="31"/>
        <v>2</v>
      </c>
      <c r="E429" s="490">
        <v>43879</v>
      </c>
      <c r="F429" s="491" t="str">
        <f ca="1">DOC</f>
        <v>031</v>
      </c>
      <c r="G429" s="492" t="s">
        <v>99</v>
      </c>
      <c r="H429" s="493" t="s">
        <v>253</v>
      </c>
      <c r="I429" s="494">
        <v>1</v>
      </c>
      <c r="J429" s="495">
        <v>10870</v>
      </c>
      <c r="K429" s="495">
        <v>4530</v>
      </c>
      <c r="L429" s="496">
        <f ca="1">NET</f>
        <v>6340</v>
      </c>
      <c r="M429" s="222" t="str">
        <f ca="1">DL</f>
        <v>DARAT</v>
      </c>
      <c r="Q429" s="346"/>
    </row>
    <row r="430" spans="2:17" ht="15">
      <c r="B430" s="489" t="str">
        <f ca="1">SUPPAJA</f>
        <v>SAIRI</v>
      </c>
      <c r="C430" s="338">
        <f ca="1">IF(COUNTIFS($B$3:B430,DATAKBA[[#This Row],[NAMA SUPP]],$E$3:E430,DATAKBA[[#This Row],[TANGGAL]])&lt;&gt;1,0,1)</f>
        <v>1</v>
      </c>
      <c r="D430" s="222">
        <f t="shared" si="31"/>
        <v>3</v>
      </c>
      <c r="E430" s="490">
        <v>43879</v>
      </c>
      <c r="F430" s="491" t="str">
        <f ca="1">DOC</f>
        <v>024</v>
      </c>
      <c r="G430" s="492" t="s">
        <v>78</v>
      </c>
      <c r="H430" s="493" t="s">
        <v>267</v>
      </c>
      <c r="I430" s="494">
        <v>1</v>
      </c>
      <c r="J430" s="495">
        <v>4250</v>
      </c>
      <c r="K430" s="495">
        <v>1490</v>
      </c>
      <c r="L430" s="496">
        <f ca="1">NET</f>
        <v>2760</v>
      </c>
      <c r="M430" s="222" t="str">
        <f ca="1">DL</f>
        <v>DARAT</v>
      </c>
      <c r="Q430" s="346"/>
    </row>
    <row r="431" spans="2:17" ht="15">
      <c r="B431" s="489" t="str">
        <f ca="1">SUPPAJA</f>
        <v>YANADI</v>
      </c>
      <c r="C431" s="338">
        <f ca="1">IF(COUNTIFS($B$3:B431,DATAKBA[[#This Row],[NAMA SUPP]],$E$3:E431,DATAKBA[[#This Row],[TANGGAL]])&lt;&gt;1,0,1)</f>
        <v>1</v>
      </c>
      <c r="D431" s="222">
        <f t="shared" si="31"/>
        <v>4</v>
      </c>
      <c r="E431" s="490">
        <v>43879</v>
      </c>
      <c r="F431" s="497" t="str">
        <f ca="1">DOC</f>
        <v>024</v>
      </c>
      <c r="G431" s="498" t="s">
        <v>137</v>
      </c>
      <c r="H431" s="499" t="s">
        <v>265</v>
      </c>
      <c r="I431" s="500">
        <v>3</v>
      </c>
      <c r="J431" s="495">
        <v>32850</v>
      </c>
      <c r="K431" s="495">
        <v>12700</v>
      </c>
      <c r="L431" s="496">
        <f ca="1">NET</f>
        <v>20150</v>
      </c>
      <c r="M431" s="222" t="str">
        <f ca="1">DL</f>
        <v>DARAT</v>
      </c>
      <c r="Q431" s="346"/>
    </row>
    <row r="432" spans="2:17" ht="15">
      <c r="B432" s="489" t="str">
        <f ca="1">SUPPAJA</f>
        <v>DINI CHAIRANI</v>
      </c>
      <c r="C432" s="338">
        <f ca="1">IF(COUNTIFS($B$3:B432,DATAKBA[[#This Row],[NAMA SUPP]],$E$3:E432,DATAKBA[[#This Row],[TANGGAL]])&lt;&gt;1,0,1)</f>
        <v>1</v>
      </c>
      <c r="D432" s="222">
        <f t="shared" si="31"/>
        <v>5</v>
      </c>
      <c r="E432" s="490">
        <v>43879</v>
      </c>
      <c r="F432" s="491" t="str">
        <f ca="1">DOC</f>
        <v>026</v>
      </c>
      <c r="G432" s="492" t="s">
        <v>269</v>
      </c>
      <c r="H432" s="493" t="s">
        <v>268</v>
      </c>
      <c r="I432" s="494">
        <v>3</v>
      </c>
      <c r="J432" s="495">
        <v>25760</v>
      </c>
      <c r="K432" s="495">
        <v>11590</v>
      </c>
      <c r="L432" s="496">
        <f ca="1">NET</f>
        <v>14170</v>
      </c>
      <c r="M432" s="222" t="str">
        <f ca="1">DL</f>
        <v>LAUT</v>
      </c>
      <c r="Q432" s="346"/>
    </row>
    <row r="433" spans="2:17" ht="15">
      <c r="B433" s="489" t="str">
        <f ca="1">SUPPAJA</f>
        <v>DINI CHAIRANI</v>
      </c>
      <c r="C433" s="338">
        <f ca="1">IF(COUNTIFS($B$3:B433,DATAKBA[[#This Row],[NAMA SUPP]],$E$3:E433,DATAKBA[[#This Row],[TANGGAL]])&lt;&gt;1,0,1)</f>
        <v>0</v>
      </c>
      <c r="D433" s="222">
        <f t="shared" si="31"/>
        <v>6</v>
      </c>
      <c r="E433" s="490">
        <v>43879</v>
      </c>
      <c r="F433" s="491" t="str">
        <f ca="1">DOC</f>
        <v/>
      </c>
      <c r="G433" s="492" t="s">
        <v>334</v>
      </c>
      <c r="H433" s="493" t="s">
        <v>268</v>
      </c>
      <c r="I433" s="494">
        <v>2</v>
      </c>
      <c r="J433" s="495">
        <v>13700</v>
      </c>
      <c r="K433" s="495">
        <v>7730</v>
      </c>
      <c r="L433" s="496">
        <f ca="1">NET</f>
        <v>5970</v>
      </c>
      <c r="M433" s="222" t="str">
        <f ca="1">DL</f>
        <v>LAUT</v>
      </c>
      <c r="Q433" s="346"/>
    </row>
    <row r="434" spans="2:17" ht="15">
      <c r="B434" s="489" t="str">
        <f ca="1">SUPPAJA</f>
        <v>MARTONO</v>
      </c>
      <c r="C434" s="338">
        <f ca="1">IF(COUNTIFS($B$3:B434,DATAKBA[[#This Row],[NAMA SUPP]],$E$3:E434,DATAKBA[[#This Row],[TANGGAL]])&lt;&gt;1,0,1)</f>
        <v>1</v>
      </c>
      <c r="D434" s="222">
        <f t="shared" si="31"/>
        <v>7</v>
      </c>
      <c r="E434" s="490">
        <v>43879</v>
      </c>
      <c r="F434" s="497" t="str">
        <f ca="1">DOC</f>
        <v>029</v>
      </c>
      <c r="G434" s="498" t="s">
        <v>256</v>
      </c>
      <c r="H434" s="499" t="s">
        <v>257</v>
      </c>
      <c r="I434" s="500">
        <v>1</v>
      </c>
      <c r="J434" s="495">
        <v>8090</v>
      </c>
      <c r="K434" s="495">
        <v>3890</v>
      </c>
      <c r="L434" s="496">
        <f ca="1">NET</f>
        <v>4200</v>
      </c>
      <c r="M434" s="222" t="str">
        <f ca="1">DL</f>
        <v>LAUT</v>
      </c>
      <c r="Q434" s="346"/>
    </row>
    <row r="435" spans="2:17" ht="15">
      <c r="B435" s="489" t="str">
        <f ca="1">SUPPAJA</f>
        <v>ERAWATI</v>
      </c>
      <c r="C435" s="338">
        <f ca="1">IF(COUNTIFS($B$3:B435,DATAKBA[[#This Row],[NAMA SUPP]],$E$3:E435,DATAKBA[[#This Row],[TANGGAL]])&lt;&gt;1,0,1)</f>
        <v>1</v>
      </c>
      <c r="D435" s="222">
        <f t="shared" ref="D435:D452" si="32">COUNTER_RUDI</f>
        <v>1</v>
      </c>
      <c r="E435" s="490">
        <v>43880</v>
      </c>
      <c r="F435" s="491" t="str">
        <f ca="1">DOC</f>
        <v>036</v>
      </c>
      <c r="G435" s="492" t="s">
        <v>220</v>
      </c>
      <c r="H435" s="493" t="s">
        <v>253</v>
      </c>
      <c r="I435" s="494">
        <v>3</v>
      </c>
      <c r="J435" s="495">
        <v>31470</v>
      </c>
      <c r="K435" s="495">
        <v>13220</v>
      </c>
      <c r="L435" s="496">
        <f ca="1">NET</f>
        <v>18250</v>
      </c>
      <c r="M435" s="222" t="str">
        <f ca="1">DL</f>
        <v>DARAT</v>
      </c>
      <c r="Q435" s="346"/>
    </row>
    <row r="436" spans="2:17" ht="15">
      <c r="B436" s="489" t="str">
        <f ca="1">SUPPAJA</f>
        <v>INDRAYANI</v>
      </c>
      <c r="C436" s="338">
        <f ca="1">IF(COUNTIFS($B$3:B436,DATAKBA[[#This Row],[NAMA SUPP]],$E$3:E436,DATAKBA[[#This Row],[TANGGAL]])&lt;&gt;1,0,1)</f>
        <v>1</v>
      </c>
      <c r="D436" s="222">
        <f t="shared" si="32"/>
        <v>2</v>
      </c>
      <c r="E436" s="490">
        <v>43880</v>
      </c>
      <c r="F436" s="491" t="str">
        <f ca="1">DOC</f>
        <v>032</v>
      </c>
      <c r="G436" s="492" t="s">
        <v>99</v>
      </c>
      <c r="H436" s="493" t="s">
        <v>253</v>
      </c>
      <c r="I436" s="494">
        <v>3</v>
      </c>
      <c r="J436" s="495">
        <v>37860</v>
      </c>
      <c r="K436" s="495">
        <v>14200</v>
      </c>
      <c r="L436" s="496">
        <f ca="1">NET</f>
        <v>23660</v>
      </c>
      <c r="M436" s="222" t="str">
        <f ca="1">DL</f>
        <v>DARAT</v>
      </c>
      <c r="Q436" s="346"/>
    </row>
    <row r="437" spans="2:17" ht="15">
      <c r="B437" s="489" t="str">
        <f ca="1">SUPPAJA</f>
        <v>RUSLAN JAYA, SH</v>
      </c>
      <c r="C437" s="338">
        <f ca="1">IF(COUNTIFS($B$3:B437,DATAKBA[[#This Row],[NAMA SUPP]],$E$3:E437,DATAKBA[[#This Row],[TANGGAL]])&lt;&gt;1,0,1)</f>
        <v>1</v>
      </c>
      <c r="D437" s="222">
        <f t="shared" si="32"/>
        <v>3</v>
      </c>
      <c r="E437" s="490">
        <v>43880</v>
      </c>
      <c r="F437" s="497" t="str">
        <f ca="1">DOC</f>
        <v>022</v>
      </c>
      <c r="G437" s="498" t="s">
        <v>230</v>
      </c>
      <c r="H437" s="499" t="s">
        <v>255</v>
      </c>
      <c r="I437" s="500">
        <v>1</v>
      </c>
      <c r="J437" s="495">
        <v>9510</v>
      </c>
      <c r="K437" s="495">
        <v>4210</v>
      </c>
      <c r="L437" s="496">
        <f ca="1">NET</f>
        <v>5300</v>
      </c>
      <c r="M437" s="222" t="str">
        <f ca="1">DL</f>
        <v>DARAT</v>
      </c>
      <c r="Q437" s="346"/>
    </row>
    <row r="438" spans="2:17" ht="15">
      <c r="B438" s="489" t="str">
        <f ca="1">SUPPAJA</f>
        <v>RITA ERNITA</v>
      </c>
      <c r="C438" s="338">
        <f ca="1">IF(COUNTIFS($B$3:B438,DATAKBA[[#This Row],[NAMA SUPP]],$E$3:E438,DATAKBA[[#This Row],[TANGGAL]])&lt;&gt;1,0,1)</f>
        <v>1</v>
      </c>
      <c r="D438" s="222">
        <f t="shared" si="32"/>
        <v>4</v>
      </c>
      <c r="E438" s="490">
        <v>43880</v>
      </c>
      <c r="F438" s="497" t="str">
        <f ca="1">DOC</f>
        <v>007</v>
      </c>
      <c r="G438" s="498" t="s">
        <v>349</v>
      </c>
      <c r="H438" s="499" t="s">
        <v>263</v>
      </c>
      <c r="I438" s="500">
        <v>7</v>
      </c>
      <c r="J438" s="495">
        <v>56650</v>
      </c>
      <c r="K438" s="495">
        <v>26920</v>
      </c>
      <c r="L438" s="496">
        <f ca="1">NET</f>
        <v>29730</v>
      </c>
      <c r="M438" s="222" t="str">
        <f ca="1">DL</f>
        <v>LAUT</v>
      </c>
      <c r="Q438" s="346"/>
    </row>
    <row r="439" spans="2:17" ht="15">
      <c r="B439" s="489" t="str">
        <f ca="1">SUPPAJA</f>
        <v>ERAWATI</v>
      </c>
      <c r="C439" s="338">
        <f ca="1">IF(COUNTIFS($B$3:B439,DATAKBA[[#This Row],[NAMA SUPP]],$E$3:E439,DATAKBA[[#This Row],[TANGGAL]])&lt;&gt;1,0,1)</f>
        <v>1</v>
      </c>
      <c r="D439" s="222">
        <f t="shared" si="32"/>
        <v>1</v>
      </c>
      <c r="E439" s="490">
        <v>43881</v>
      </c>
      <c r="F439" s="491" t="str">
        <f ca="1">DOC</f>
        <v>037</v>
      </c>
      <c r="G439" s="492" t="s">
        <v>220</v>
      </c>
      <c r="H439" s="493" t="s">
        <v>253</v>
      </c>
      <c r="I439" s="494">
        <v>2</v>
      </c>
      <c r="J439" s="495">
        <v>22160</v>
      </c>
      <c r="K439" s="495">
        <v>8260</v>
      </c>
      <c r="L439" s="496">
        <f ca="1">NET</f>
        <v>13900</v>
      </c>
      <c r="M439" s="222" t="str">
        <f ca="1">DL</f>
        <v>DARAT</v>
      </c>
      <c r="Q439" s="346"/>
    </row>
    <row r="440" spans="2:17" ht="15">
      <c r="B440" s="489" t="str">
        <f ca="1">SUPPAJA</f>
        <v>INDRAYANI</v>
      </c>
      <c r="C440" s="338">
        <f ca="1">IF(COUNTIFS($B$3:B440,DATAKBA[[#This Row],[NAMA SUPP]],$E$3:E440,DATAKBA[[#This Row],[TANGGAL]])&lt;&gt;1,0,1)</f>
        <v>1</v>
      </c>
      <c r="D440" s="222">
        <f t="shared" si="32"/>
        <v>2</v>
      </c>
      <c r="E440" s="490">
        <v>43881</v>
      </c>
      <c r="F440" s="491" t="str">
        <f ca="1">DOC</f>
        <v>033</v>
      </c>
      <c r="G440" s="492" t="s">
        <v>99</v>
      </c>
      <c r="H440" s="493" t="s">
        <v>253</v>
      </c>
      <c r="I440" s="494">
        <v>1</v>
      </c>
      <c r="J440" s="495">
        <v>11180</v>
      </c>
      <c r="K440" s="495">
        <v>3810</v>
      </c>
      <c r="L440" s="496">
        <f ca="1">NET</f>
        <v>7370</v>
      </c>
      <c r="M440" s="222" t="str">
        <f ca="1">DL</f>
        <v>DARAT</v>
      </c>
      <c r="Q440" s="346"/>
    </row>
    <row r="441" spans="2:17" ht="15">
      <c r="B441" s="489" t="str">
        <f ca="1">SUPPAJA</f>
        <v>RUSLAN JAYA, SH</v>
      </c>
      <c r="C441" s="338">
        <f ca="1">IF(COUNTIFS($B$3:B441,DATAKBA[[#This Row],[NAMA SUPP]],$E$3:E441,DATAKBA[[#This Row],[TANGGAL]])&lt;&gt;1,0,1)</f>
        <v>1</v>
      </c>
      <c r="D441" s="222">
        <f t="shared" si="32"/>
        <v>3</v>
      </c>
      <c r="E441" s="490">
        <v>43881</v>
      </c>
      <c r="F441" s="491" t="str">
        <f ca="1">DOC</f>
        <v>023</v>
      </c>
      <c r="G441" s="492" t="s">
        <v>230</v>
      </c>
      <c r="H441" s="493" t="s">
        <v>255</v>
      </c>
      <c r="I441" s="494">
        <v>5</v>
      </c>
      <c r="J441" s="495">
        <v>44280</v>
      </c>
      <c r="K441" s="495">
        <v>16110</v>
      </c>
      <c r="L441" s="496">
        <f ca="1">NET</f>
        <v>28170</v>
      </c>
      <c r="M441" s="222" t="str">
        <f ca="1">DL</f>
        <v>DARAT</v>
      </c>
      <c r="Q441" s="346"/>
    </row>
    <row r="442" spans="2:17" ht="15">
      <c r="B442" s="489" t="str">
        <f ca="1">SUPPAJA</f>
        <v>SAIRI</v>
      </c>
      <c r="C442" s="338">
        <f ca="1">IF(COUNTIFS($B$3:B442,DATAKBA[[#This Row],[NAMA SUPP]],$E$3:E442,DATAKBA[[#This Row],[TANGGAL]])&lt;&gt;1,0,1)</f>
        <v>1</v>
      </c>
      <c r="D442" s="222">
        <f t="shared" si="32"/>
        <v>4</v>
      </c>
      <c r="E442" s="490">
        <v>43881</v>
      </c>
      <c r="F442" s="491" t="str">
        <f ca="1">DOC</f>
        <v>025</v>
      </c>
      <c r="G442" s="492" t="s">
        <v>78</v>
      </c>
      <c r="H442" s="493" t="s">
        <v>267</v>
      </c>
      <c r="I442" s="494">
        <v>2</v>
      </c>
      <c r="J442" s="495">
        <v>25220</v>
      </c>
      <c r="K442" s="495">
        <v>8740</v>
      </c>
      <c r="L442" s="496">
        <f ca="1">NET</f>
        <v>16480</v>
      </c>
      <c r="M442" s="222" t="str">
        <f ca="1">DL</f>
        <v>DARAT</v>
      </c>
      <c r="Q442" s="346"/>
    </row>
    <row r="443" spans="2:17" ht="15">
      <c r="B443" s="489" t="str">
        <f ca="1">SUPPAJA</f>
        <v>YANADI</v>
      </c>
      <c r="C443" s="338">
        <f ca="1">IF(COUNTIFS($B$3:B443,DATAKBA[[#This Row],[NAMA SUPP]],$E$3:E443,DATAKBA[[#This Row],[TANGGAL]])&lt;&gt;1,0,1)</f>
        <v>1</v>
      </c>
      <c r="D443" s="222">
        <f t="shared" si="32"/>
        <v>5</v>
      </c>
      <c r="E443" s="490">
        <v>43881</v>
      </c>
      <c r="F443" s="497" t="str">
        <f ca="1">DOC</f>
        <v>025</v>
      </c>
      <c r="G443" s="498" t="s">
        <v>137</v>
      </c>
      <c r="H443" s="499" t="s">
        <v>265</v>
      </c>
      <c r="I443" s="500">
        <v>1</v>
      </c>
      <c r="J443" s="495">
        <v>11790</v>
      </c>
      <c r="K443" s="495">
        <v>4260</v>
      </c>
      <c r="L443" s="496">
        <f ca="1">NET</f>
        <v>7530</v>
      </c>
      <c r="M443" s="222" t="str">
        <f ca="1">DL</f>
        <v>DARAT</v>
      </c>
      <c r="Q443" s="346"/>
    </row>
    <row r="444" spans="2:17" ht="15">
      <c r="B444" s="489" t="str">
        <f ca="1">SUPPAJA</f>
        <v>DINI CHAIRANI</v>
      </c>
      <c r="C444" s="338">
        <f ca="1">IF(COUNTIFS($B$3:B444,DATAKBA[[#This Row],[NAMA SUPP]],$E$3:E444,DATAKBA[[#This Row],[TANGGAL]])&lt;&gt;1,0,1)</f>
        <v>1</v>
      </c>
      <c r="D444" s="222">
        <f t="shared" si="32"/>
        <v>6</v>
      </c>
      <c r="E444" s="490">
        <v>43881</v>
      </c>
      <c r="F444" s="491" t="str">
        <f ca="1">DOC</f>
        <v>027</v>
      </c>
      <c r="G444" s="492" t="s">
        <v>228</v>
      </c>
      <c r="H444" s="493" t="s">
        <v>268</v>
      </c>
      <c r="I444" s="494">
        <v>1</v>
      </c>
      <c r="J444" s="495">
        <v>8680</v>
      </c>
      <c r="K444" s="495">
        <v>3890</v>
      </c>
      <c r="L444" s="496">
        <f ca="1">NET</f>
        <v>4790</v>
      </c>
      <c r="M444" s="222" t="str">
        <f ca="1">DL</f>
        <v>LAUT</v>
      </c>
      <c r="Q444" s="346"/>
    </row>
    <row r="445" spans="2:17" ht="15">
      <c r="B445" s="489" t="str">
        <f ca="1">SUPPAJA</f>
        <v>DINI CHAIRANI</v>
      </c>
      <c r="C445" s="338">
        <f ca="1">IF(COUNTIFS($B$3:B445,DATAKBA[[#This Row],[NAMA SUPP]],$E$3:E445,DATAKBA[[#This Row],[TANGGAL]])&lt;&gt;1,0,1)</f>
        <v>0</v>
      </c>
      <c r="D445" s="222">
        <f t="shared" si="32"/>
        <v>7</v>
      </c>
      <c r="E445" s="490">
        <v>43881</v>
      </c>
      <c r="F445" s="491" t="str">
        <f ca="1">DOC</f>
        <v/>
      </c>
      <c r="G445" s="492" t="s">
        <v>276</v>
      </c>
      <c r="H445" s="493" t="s">
        <v>268</v>
      </c>
      <c r="I445" s="494">
        <v>1</v>
      </c>
      <c r="J445" s="495">
        <v>6760</v>
      </c>
      <c r="K445" s="495">
        <v>3880</v>
      </c>
      <c r="L445" s="496">
        <f ca="1">NET</f>
        <v>2880</v>
      </c>
      <c r="M445" s="222" t="str">
        <f ca="1">DL</f>
        <v>LAUT</v>
      </c>
      <c r="Q445" s="346"/>
    </row>
    <row r="446" spans="2:17" ht="15">
      <c r="B446" s="489" t="str">
        <f ca="1">SUPPAJA</f>
        <v>DINI CHAIRANI</v>
      </c>
      <c r="C446" s="338">
        <f ca="1">IF(COUNTIFS($B$3:B446,DATAKBA[[#This Row],[NAMA SUPP]],$E$3:E446,DATAKBA[[#This Row],[TANGGAL]])&lt;&gt;1,0,1)</f>
        <v>0</v>
      </c>
      <c r="D446" s="222">
        <f t="shared" si="32"/>
        <v>8</v>
      </c>
      <c r="E446" s="490">
        <v>43881</v>
      </c>
      <c r="F446" s="491" t="str">
        <f ca="1">DOC</f>
        <v/>
      </c>
      <c r="G446" s="492" t="s">
        <v>338</v>
      </c>
      <c r="H446" s="493" t="s">
        <v>268</v>
      </c>
      <c r="I446" s="494">
        <v>1</v>
      </c>
      <c r="J446" s="495">
        <v>8230</v>
      </c>
      <c r="K446" s="495">
        <v>3940</v>
      </c>
      <c r="L446" s="496">
        <f ca="1">NET</f>
        <v>4290</v>
      </c>
      <c r="M446" s="222" t="str">
        <f ca="1">DL</f>
        <v>LAUT</v>
      </c>
      <c r="Q446" s="346"/>
    </row>
    <row r="447" spans="2:17" ht="15">
      <c r="B447" s="489" t="str">
        <f ca="1">SUPPAJA</f>
        <v>DINI CHAIRANI</v>
      </c>
      <c r="C447" s="338">
        <f ca="1">IF(COUNTIFS($B$3:B447,DATAKBA[[#This Row],[NAMA SUPP]],$E$3:E447,DATAKBA[[#This Row],[TANGGAL]])&lt;&gt;1,0,1)</f>
        <v>0</v>
      </c>
      <c r="D447" s="222">
        <f t="shared" si="32"/>
        <v>9</v>
      </c>
      <c r="E447" s="490">
        <v>43881</v>
      </c>
      <c r="F447" s="491" t="str">
        <f ca="1">DOC</f>
        <v/>
      </c>
      <c r="G447" s="492" t="s">
        <v>404</v>
      </c>
      <c r="H447" s="493" t="s">
        <v>268</v>
      </c>
      <c r="I447" s="494">
        <v>1</v>
      </c>
      <c r="J447" s="495">
        <v>6630</v>
      </c>
      <c r="K447" s="495">
        <v>3890</v>
      </c>
      <c r="L447" s="496">
        <f ca="1">NET</f>
        <v>2740</v>
      </c>
      <c r="M447" s="222" t="str">
        <f ca="1">DL</f>
        <v>LAUT</v>
      </c>
      <c r="Q447" s="346"/>
    </row>
    <row r="448" spans="2:17" ht="15">
      <c r="B448" s="489" t="str">
        <f ca="1">SUPPAJA</f>
        <v>HENDRI</v>
      </c>
      <c r="C448" s="338">
        <f ca="1">IF(COUNTIFS($B$3:B448,DATAKBA[[#This Row],[NAMA SUPP]],$E$3:E448,DATAKBA[[#This Row],[TANGGAL]])&lt;&gt;1,0,1)</f>
        <v>1</v>
      </c>
      <c r="D448" s="222">
        <f t="shared" si="32"/>
        <v>10</v>
      </c>
      <c r="E448" s="490">
        <v>43881</v>
      </c>
      <c r="F448" s="491" t="str">
        <f ca="1">DOC</f>
        <v>020</v>
      </c>
      <c r="G448" s="492" t="s">
        <v>342</v>
      </c>
      <c r="H448" s="493" t="s">
        <v>255</v>
      </c>
      <c r="I448" s="494">
        <v>4</v>
      </c>
      <c r="J448" s="495">
        <v>36150</v>
      </c>
      <c r="K448" s="495">
        <v>15460</v>
      </c>
      <c r="L448" s="496">
        <f ca="1">NET</f>
        <v>20690</v>
      </c>
      <c r="M448" s="222" t="str">
        <f ca="1">DL</f>
        <v>LAUT</v>
      </c>
      <c r="Q448" s="346"/>
    </row>
    <row r="449" spans="2:17" ht="15">
      <c r="B449" s="489" t="str">
        <f ca="1">SUPPAJA</f>
        <v>HENDRI</v>
      </c>
      <c r="C449" s="338">
        <f ca="1">IF(COUNTIFS($B$3:B449,DATAKBA[[#This Row],[NAMA SUPP]],$E$3:E449,DATAKBA[[#This Row],[TANGGAL]])&lt;&gt;1,0,1)</f>
        <v>0</v>
      </c>
      <c r="D449" s="222">
        <f t="shared" si="32"/>
        <v>11</v>
      </c>
      <c r="E449" s="490">
        <v>43881</v>
      </c>
      <c r="F449" s="491" t="str">
        <f ca="1">DOC</f>
        <v/>
      </c>
      <c r="G449" s="492" t="s">
        <v>335</v>
      </c>
      <c r="H449" s="493" t="s">
        <v>255</v>
      </c>
      <c r="I449" s="494">
        <v>4</v>
      </c>
      <c r="J449" s="495">
        <v>33360</v>
      </c>
      <c r="K449" s="495">
        <v>15450</v>
      </c>
      <c r="L449" s="496">
        <f ca="1">NET</f>
        <v>17910</v>
      </c>
      <c r="M449" s="222" t="str">
        <f ca="1">DL</f>
        <v>LAUT</v>
      </c>
      <c r="Q449" s="346"/>
    </row>
    <row r="450" spans="2:17" ht="15">
      <c r="B450" s="489" t="str">
        <f ca="1">SUPPAJA</f>
        <v>MARTONO</v>
      </c>
      <c r="C450" s="338">
        <f ca="1">IF(COUNTIFS($B$3:B450,DATAKBA[[#This Row],[NAMA SUPP]],$E$3:E450,DATAKBA[[#This Row],[TANGGAL]])&lt;&gt;1,0,1)</f>
        <v>1</v>
      </c>
      <c r="D450" s="222">
        <f t="shared" si="32"/>
        <v>12</v>
      </c>
      <c r="E450" s="490">
        <v>43881</v>
      </c>
      <c r="F450" s="491" t="str">
        <f ca="1">DOC</f>
        <v>030</v>
      </c>
      <c r="G450" s="492" t="s">
        <v>278</v>
      </c>
      <c r="H450" s="493" t="s">
        <v>257</v>
      </c>
      <c r="I450" s="494">
        <v>1</v>
      </c>
      <c r="J450" s="495">
        <v>8800</v>
      </c>
      <c r="K450" s="495">
        <v>3950</v>
      </c>
      <c r="L450" s="496">
        <f ca="1">NET</f>
        <v>4850</v>
      </c>
      <c r="M450" s="222" t="str">
        <f ca="1">DL</f>
        <v>LAUT</v>
      </c>
      <c r="Q450" s="346"/>
    </row>
    <row r="451" spans="2:17" ht="15">
      <c r="B451" s="489" t="str">
        <f ca="1">SUPPAJA</f>
        <v>MASRI</v>
      </c>
      <c r="C451" s="338">
        <f ca="1">IF(COUNTIFS($B$3:B451,DATAKBA[[#This Row],[NAMA SUPP]],$E$3:E451,DATAKBA[[#This Row],[TANGGAL]])&lt;&gt;1,0,1)</f>
        <v>1</v>
      </c>
      <c r="D451" s="222">
        <f t="shared" si="32"/>
        <v>13</v>
      </c>
      <c r="E451" s="490">
        <v>43881</v>
      </c>
      <c r="F451" s="491" t="str">
        <f ca="1">DOC</f>
        <v>023</v>
      </c>
      <c r="G451" s="492" t="s">
        <v>333</v>
      </c>
      <c r="H451" s="493" t="s">
        <v>260</v>
      </c>
      <c r="I451" s="494">
        <v>3</v>
      </c>
      <c r="J451" s="495">
        <v>26090</v>
      </c>
      <c r="K451" s="495">
        <v>11530</v>
      </c>
      <c r="L451" s="496">
        <f ca="1">NET</f>
        <v>14560</v>
      </c>
      <c r="M451" s="222" t="str">
        <f ca="1">DL</f>
        <v>LAUT</v>
      </c>
      <c r="Q451" s="346"/>
    </row>
    <row r="452" spans="2:17" ht="15">
      <c r="B452" s="489" t="str">
        <f ca="1">SUPPAJA</f>
        <v>SUKAMTO</v>
      </c>
      <c r="C452" s="338">
        <f ca="1">IF(COUNTIFS($B$3:B452,DATAKBA[[#This Row],[NAMA SUPP]],$E$3:E452,DATAKBA[[#This Row],[TANGGAL]])&lt;&gt;1,0,1)</f>
        <v>1</v>
      </c>
      <c r="D452" s="222">
        <f t="shared" si="32"/>
        <v>14</v>
      </c>
      <c r="E452" s="490">
        <v>43881</v>
      </c>
      <c r="F452" s="497" t="str">
        <f ca="1">DOC</f>
        <v>013</v>
      </c>
      <c r="G452" s="498" t="s">
        <v>395</v>
      </c>
      <c r="H452" s="499" t="s">
        <v>275</v>
      </c>
      <c r="I452" s="500">
        <v>1</v>
      </c>
      <c r="J452" s="495">
        <v>6500</v>
      </c>
      <c r="K452" s="495">
        <v>3940</v>
      </c>
      <c r="L452" s="496">
        <f ca="1">NET</f>
        <v>2560</v>
      </c>
      <c r="M452" s="222" t="str">
        <f ca="1">DL</f>
        <v>LAUT</v>
      </c>
      <c r="Q452" s="346"/>
    </row>
    <row r="453" spans="2:17" ht="15">
      <c r="B453" s="489" t="str">
        <f ca="1">SUPPAJA</f>
        <v>ERAWATI</v>
      </c>
      <c r="C453" s="338">
        <f ca="1">IF(COUNTIFS($B$3:B453,DATAKBA[[#This Row],[NAMA SUPP]],$E$3:E453,DATAKBA[[#This Row],[TANGGAL]])&lt;&gt;1,0,1)</f>
        <v>1</v>
      </c>
      <c r="D453" s="222">
        <f t="shared" ref="D453:D460" si="33">COUNTER_RUDI</f>
        <v>1</v>
      </c>
      <c r="E453" s="490">
        <v>43882</v>
      </c>
      <c r="F453" s="491" t="str">
        <f ca="1">DOC</f>
        <v>038</v>
      </c>
      <c r="G453" s="492" t="s">
        <v>220</v>
      </c>
      <c r="H453" s="493" t="s">
        <v>253</v>
      </c>
      <c r="I453" s="494">
        <v>4</v>
      </c>
      <c r="J453" s="495">
        <v>34700</v>
      </c>
      <c r="K453" s="495">
        <v>14450</v>
      </c>
      <c r="L453" s="496">
        <f ca="1">NET</f>
        <v>20250</v>
      </c>
      <c r="M453" s="222" t="str">
        <f ca="1">DL</f>
        <v>DARAT</v>
      </c>
      <c r="Q453" s="346"/>
    </row>
    <row r="454" spans="2:17" ht="15">
      <c r="B454" s="489" t="str">
        <f ca="1">SUPPAJA</f>
        <v>INDRAYANI</v>
      </c>
      <c r="C454" s="338">
        <f ca="1">IF(COUNTIFS($B$3:B454,DATAKBA[[#This Row],[NAMA SUPP]],$E$3:E454,DATAKBA[[#This Row],[TANGGAL]])&lt;&gt;1,0,1)</f>
        <v>1</v>
      </c>
      <c r="D454" s="222">
        <f t="shared" si="33"/>
        <v>2</v>
      </c>
      <c r="E454" s="490">
        <v>43882</v>
      </c>
      <c r="F454" s="491" t="str">
        <f ca="1">DOC</f>
        <v>034</v>
      </c>
      <c r="G454" s="492" t="s">
        <v>99</v>
      </c>
      <c r="H454" s="493" t="s">
        <v>253</v>
      </c>
      <c r="I454" s="494">
        <v>3</v>
      </c>
      <c r="J454" s="495">
        <v>34610</v>
      </c>
      <c r="K454" s="495">
        <v>12740</v>
      </c>
      <c r="L454" s="496">
        <f ca="1">NET</f>
        <v>21870</v>
      </c>
      <c r="M454" s="222" t="str">
        <f ca="1">DL</f>
        <v>DARAT</v>
      </c>
      <c r="Q454" s="346"/>
    </row>
    <row r="455" spans="2:17" ht="15">
      <c r="B455" s="489" t="str">
        <f ca="1">SUPPAJA</f>
        <v>RUSLAN JAYA, SH</v>
      </c>
      <c r="C455" s="338">
        <f ca="1">IF(COUNTIFS($B$3:B455,DATAKBA[[#This Row],[NAMA SUPP]],$E$3:E455,DATAKBA[[#This Row],[TANGGAL]])&lt;&gt;1,0,1)</f>
        <v>1</v>
      </c>
      <c r="D455" s="222">
        <f t="shared" si="33"/>
        <v>3</v>
      </c>
      <c r="E455" s="490">
        <v>43882</v>
      </c>
      <c r="F455" s="491" t="str">
        <f ca="1">DOC</f>
        <v>024</v>
      </c>
      <c r="G455" s="492" t="s">
        <v>230</v>
      </c>
      <c r="H455" s="493" t="s">
        <v>255</v>
      </c>
      <c r="I455" s="494">
        <v>3</v>
      </c>
      <c r="J455" s="495">
        <v>31290</v>
      </c>
      <c r="K455" s="495">
        <v>13080</v>
      </c>
      <c r="L455" s="496">
        <f ca="1">NET</f>
        <v>18210</v>
      </c>
      <c r="M455" s="222" t="str">
        <f ca="1">DL</f>
        <v>DARAT</v>
      </c>
      <c r="Q455" s="346"/>
    </row>
    <row r="456" spans="2:17" ht="15">
      <c r="B456" s="489" t="str">
        <f ca="1">SUPPAJA</f>
        <v>YANADI</v>
      </c>
      <c r="C456" s="338">
        <f ca="1">IF(COUNTIFS($B$3:B456,DATAKBA[[#This Row],[NAMA SUPP]],$E$3:E456,DATAKBA[[#This Row],[TANGGAL]])&lt;&gt;1,0,1)</f>
        <v>1</v>
      </c>
      <c r="D456" s="222">
        <f t="shared" si="33"/>
        <v>4</v>
      </c>
      <c r="E456" s="490">
        <v>43882</v>
      </c>
      <c r="F456" s="497" t="str">
        <f ca="1">DOC</f>
        <v>026</v>
      </c>
      <c r="G456" s="498" t="s">
        <v>137</v>
      </c>
      <c r="H456" s="499" t="s">
        <v>265</v>
      </c>
      <c r="I456" s="500">
        <v>4</v>
      </c>
      <c r="J456" s="495">
        <v>38030</v>
      </c>
      <c r="K456" s="495">
        <v>17030</v>
      </c>
      <c r="L456" s="496">
        <f ca="1">NET</f>
        <v>21000</v>
      </c>
      <c r="M456" s="222" t="str">
        <f ca="1">DL</f>
        <v>DARAT</v>
      </c>
      <c r="Q456" s="346"/>
    </row>
    <row r="457" spans="2:17" ht="15">
      <c r="B457" s="489" t="str">
        <f ca="1">SUPPAJA</f>
        <v>YANADI</v>
      </c>
      <c r="C457" s="338">
        <f ca="1">IF(COUNTIFS($B$3:B457,DATAKBA[[#This Row],[NAMA SUPP]],$E$3:E457,DATAKBA[[#This Row],[TANGGAL]])&lt;&gt;1,0,1)</f>
        <v>0</v>
      </c>
      <c r="D457" s="222">
        <f t="shared" si="33"/>
        <v>5</v>
      </c>
      <c r="E457" s="490">
        <v>43882</v>
      </c>
      <c r="F457" s="497" t="str">
        <f ca="1">DOC</f>
        <v/>
      </c>
      <c r="G457" s="498" t="s">
        <v>424</v>
      </c>
      <c r="H457" s="499" t="s">
        <v>265</v>
      </c>
      <c r="I457" s="500">
        <v>2</v>
      </c>
      <c r="J457" s="495">
        <v>15260</v>
      </c>
      <c r="K457" s="495">
        <v>7740</v>
      </c>
      <c r="L457" s="496">
        <f ca="1">NET</f>
        <v>7520</v>
      </c>
      <c r="M457" s="222" t="str">
        <f ca="1">DL</f>
        <v>LAUT</v>
      </c>
      <c r="Q457" s="346"/>
    </row>
    <row r="458" spans="2:17" ht="15">
      <c r="B458" s="489" t="str">
        <f ca="1">SUPPAJA</f>
        <v>YANADI</v>
      </c>
      <c r="C458" s="338">
        <f ca="1">IF(COUNTIFS($B$3:B458,DATAKBA[[#This Row],[NAMA SUPP]],$E$3:E458,DATAKBA[[#This Row],[TANGGAL]])&lt;&gt;1,0,1)</f>
        <v>0</v>
      </c>
      <c r="D458" s="222">
        <f t="shared" si="33"/>
        <v>6</v>
      </c>
      <c r="E458" s="490">
        <v>43882</v>
      </c>
      <c r="F458" s="491" t="str">
        <f ca="1">DOC</f>
        <v/>
      </c>
      <c r="G458" s="492" t="s">
        <v>425</v>
      </c>
      <c r="H458" s="499" t="s">
        <v>265</v>
      </c>
      <c r="I458" s="494">
        <v>5</v>
      </c>
      <c r="J458" s="495">
        <v>38170</v>
      </c>
      <c r="K458" s="495">
        <v>19650</v>
      </c>
      <c r="L458" s="496">
        <f ca="1">NET</f>
        <v>18520</v>
      </c>
      <c r="M458" s="222" t="str">
        <f ca="1">DL</f>
        <v>LAUT</v>
      </c>
      <c r="Q458" s="346"/>
    </row>
    <row r="459" spans="2:17" ht="15">
      <c r="B459" s="489" t="str">
        <f ca="1">SUPPAJA</f>
        <v>YANADI</v>
      </c>
      <c r="C459" s="338">
        <f ca="1">IF(COUNTIFS($B$3:B459,DATAKBA[[#This Row],[NAMA SUPP]],$E$3:E459,DATAKBA[[#This Row],[TANGGAL]])&lt;&gt;1,0,1)</f>
        <v>0</v>
      </c>
      <c r="D459" s="222">
        <f t="shared" si="33"/>
        <v>7</v>
      </c>
      <c r="E459" s="490">
        <v>43882</v>
      </c>
      <c r="F459" s="497" t="str">
        <f ca="1">DOC</f>
        <v/>
      </c>
      <c r="G459" s="498" t="s">
        <v>281</v>
      </c>
      <c r="H459" s="499" t="s">
        <v>265</v>
      </c>
      <c r="I459" s="500">
        <v>2</v>
      </c>
      <c r="J459" s="495">
        <v>15240</v>
      </c>
      <c r="K459" s="495">
        <v>7820</v>
      </c>
      <c r="L459" s="496">
        <f ca="1">NET</f>
        <v>7420</v>
      </c>
      <c r="M459" s="222" t="str">
        <f ca="1">DL</f>
        <v>LAUT</v>
      </c>
      <c r="Q459" s="346"/>
    </row>
    <row r="460" spans="2:17" ht="15">
      <c r="B460" s="489" t="str">
        <f ca="1">SUPPAJA</f>
        <v>MASRI</v>
      </c>
      <c r="C460" s="338">
        <f ca="1">IF(COUNTIFS($B$3:B460,DATAKBA[[#This Row],[NAMA SUPP]],$E$3:E460,DATAKBA[[#This Row],[TANGGAL]])&lt;&gt;1,0,1)</f>
        <v>1</v>
      </c>
      <c r="D460" s="222">
        <f t="shared" si="33"/>
        <v>8</v>
      </c>
      <c r="E460" s="490">
        <v>43882</v>
      </c>
      <c r="F460" s="497" t="str">
        <f ca="1">DOC</f>
        <v>024</v>
      </c>
      <c r="G460" s="498" t="s">
        <v>333</v>
      </c>
      <c r="H460" s="499" t="s">
        <v>260</v>
      </c>
      <c r="I460" s="500">
        <v>23</v>
      </c>
      <c r="J460" s="495">
        <v>193740</v>
      </c>
      <c r="K460" s="495">
        <v>89080</v>
      </c>
      <c r="L460" s="496">
        <f ca="1">NET</f>
        <v>104660</v>
      </c>
      <c r="M460" s="222" t="str">
        <f ca="1">DL</f>
        <v>LAUT</v>
      </c>
      <c r="Q460" s="346"/>
    </row>
    <row r="461" spans="2:17" ht="15">
      <c r="B461" s="489" t="str">
        <f ca="1">SUPPAJA</f>
        <v>ERAWATI</v>
      </c>
      <c r="C461" s="338">
        <f ca="1">IF(COUNTIFS($B$3:B461,DATAKBA[[#This Row],[NAMA SUPP]],$E$3:E461,DATAKBA[[#This Row],[TANGGAL]])&lt;&gt;1,0,1)</f>
        <v>1</v>
      </c>
      <c r="D461" s="222">
        <f t="shared" ref="D461:D470" si="34">COUNTER_RUDI</f>
        <v>1</v>
      </c>
      <c r="E461" s="490">
        <v>43883</v>
      </c>
      <c r="F461" s="491" t="str">
        <f ca="1">DOC</f>
        <v>039</v>
      </c>
      <c r="G461" s="492" t="s">
        <v>220</v>
      </c>
      <c r="H461" s="493" t="s">
        <v>253</v>
      </c>
      <c r="I461" s="494">
        <v>2</v>
      </c>
      <c r="J461" s="495">
        <v>25420</v>
      </c>
      <c r="K461" s="495">
        <v>9680</v>
      </c>
      <c r="L461" s="496">
        <f ca="1">NET</f>
        <v>15740</v>
      </c>
      <c r="M461" s="222" t="str">
        <f ca="1">DL</f>
        <v>DARAT</v>
      </c>
      <c r="Q461" s="346"/>
    </row>
    <row r="462" spans="2:17" ht="15">
      <c r="B462" s="489" t="str">
        <f ca="1">SUPPAJA</f>
        <v>INDRAYANI</v>
      </c>
      <c r="C462" s="338">
        <f ca="1">IF(COUNTIFS($B$3:B462,DATAKBA[[#This Row],[NAMA SUPP]],$E$3:E462,DATAKBA[[#This Row],[TANGGAL]])&lt;&gt;1,0,1)</f>
        <v>1</v>
      </c>
      <c r="D462" s="222">
        <f t="shared" si="34"/>
        <v>2</v>
      </c>
      <c r="E462" s="490">
        <v>43883</v>
      </c>
      <c r="F462" s="491" t="str">
        <f ca="1">DOC</f>
        <v>035</v>
      </c>
      <c r="G462" s="492" t="s">
        <v>99</v>
      </c>
      <c r="H462" s="493" t="s">
        <v>253</v>
      </c>
      <c r="I462" s="494">
        <v>3</v>
      </c>
      <c r="J462" s="495">
        <v>30550</v>
      </c>
      <c r="K462" s="495">
        <v>12100</v>
      </c>
      <c r="L462" s="496">
        <f ca="1">NET</f>
        <v>18450</v>
      </c>
      <c r="M462" s="222" t="str">
        <f ca="1">DL</f>
        <v>DARAT</v>
      </c>
      <c r="Q462" s="346"/>
    </row>
    <row r="463" spans="2:17" ht="15">
      <c r="B463" s="489" t="str">
        <f ca="1">SUPPAJA</f>
        <v>RUSLAN JAYA, SH</v>
      </c>
      <c r="C463" s="338">
        <f ca="1">IF(COUNTIFS($B$3:B463,DATAKBA[[#This Row],[NAMA SUPP]],$E$3:E463,DATAKBA[[#This Row],[TANGGAL]])&lt;&gt;1,0,1)</f>
        <v>1</v>
      </c>
      <c r="D463" s="222">
        <f t="shared" si="34"/>
        <v>3</v>
      </c>
      <c r="E463" s="490">
        <v>43883</v>
      </c>
      <c r="F463" s="491" t="str">
        <f ca="1">DOC</f>
        <v>025</v>
      </c>
      <c r="G463" s="492" t="s">
        <v>230</v>
      </c>
      <c r="H463" s="493" t="s">
        <v>255</v>
      </c>
      <c r="I463" s="494">
        <v>2</v>
      </c>
      <c r="J463" s="495">
        <v>20800</v>
      </c>
      <c r="K463" s="495">
        <v>8470</v>
      </c>
      <c r="L463" s="496">
        <f ca="1">NET</f>
        <v>12330</v>
      </c>
      <c r="M463" s="222" t="str">
        <f ca="1">DL</f>
        <v>DARAT</v>
      </c>
      <c r="Q463" s="346"/>
    </row>
    <row r="464" spans="2:17" ht="15">
      <c r="B464" s="489" t="str">
        <f ca="1">SUPPAJA</f>
        <v>SAIRI</v>
      </c>
      <c r="C464" s="338">
        <f ca="1">IF(COUNTIFS($B$3:B464,DATAKBA[[#This Row],[NAMA SUPP]],$E$3:E464,DATAKBA[[#This Row],[TANGGAL]])&lt;&gt;1,0,1)</f>
        <v>1</v>
      </c>
      <c r="D464" s="222">
        <f t="shared" si="34"/>
        <v>4</v>
      </c>
      <c r="E464" s="490">
        <v>43883</v>
      </c>
      <c r="F464" s="491" t="str">
        <f ca="1">DOC</f>
        <v>026</v>
      </c>
      <c r="G464" s="492" t="s">
        <v>78</v>
      </c>
      <c r="H464" s="493" t="s">
        <v>267</v>
      </c>
      <c r="I464" s="494">
        <v>1</v>
      </c>
      <c r="J464" s="495">
        <v>3910</v>
      </c>
      <c r="K464" s="495">
        <v>1570</v>
      </c>
      <c r="L464" s="496">
        <f ca="1">NET</f>
        <v>2340</v>
      </c>
      <c r="M464" s="222" t="str">
        <f ca="1">DL</f>
        <v>DARAT</v>
      </c>
      <c r="Q464" s="346"/>
    </row>
    <row r="465" spans="2:17" ht="15">
      <c r="B465" s="489" t="str">
        <f ca="1">SUPPAJA</f>
        <v>YANADI</v>
      </c>
      <c r="C465" s="338">
        <f ca="1">IF(COUNTIFS($B$3:B465,DATAKBA[[#This Row],[NAMA SUPP]],$E$3:E465,DATAKBA[[#This Row],[TANGGAL]])&lt;&gt;1,0,1)</f>
        <v>1</v>
      </c>
      <c r="D465" s="222">
        <f t="shared" si="34"/>
        <v>5</v>
      </c>
      <c r="E465" s="490">
        <v>43883</v>
      </c>
      <c r="F465" s="497" t="str">
        <f ca="1">DOC</f>
        <v>027</v>
      </c>
      <c r="G465" s="498" t="s">
        <v>137</v>
      </c>
      <c r="H465" s="499" t="s">
        <v>265</v>
      </c>
      <c r="I465" s="500">
        <v>2</v>
      </c>
      <c r="J465" s="495">
        <v>24110</v>
      </c>
      <c r="K465" s="495">
        <v>8260</v>
      </c>
      <c r="L465" s="496">
        <f ca="1">NET</f>
        <v>15850</v>
      </c>
      <c r="M465" s="222" t="str">
        <f ca="1">DL</f>
        <v>DARAT</v>
      </c>
      <c r="Q465" s="346"/>
    </row>
    <row r="466" spans="2:17" ht="15">
      <c r="B466" s="489" t="str">
        <f ca="1">SUPPAJA</f>
        <v>YANADI</v>
      </c>
      <c r="C466" s="338">
        <f ca="1">IF(COUNTIFS($B$3:B470,DATAKBA[[#This Row],[NAMA SUPP]],$E$3:E470,DATAKBA[[#This Row],[TANGGAL]])&lt;&gt;1,0,1)</f>
        <v>0</v>
      </c>
      <c r="D466" s="222">
        <f t="shared" si="34"/>
        <v>6</v>
      </c>
      <c r="E466" s="490">
        <v>43883</v>
      </c>
      <c r="F466" s="497" t="str">
        <f ca="1">DOC</f>
        <v/>
      </c>
      <c r="G466" s="498" t="s">
        <v>374</v>
      </c>
      <c r="H466" s="499" t="s">
        <v>265</v>
      </c>
      <c r="I466" s="500">
        <v>2</v>
      </c>
      <c r="J466" s="495">
        <v>18120</v>
      </c>
      <c r="K466" s="495">
        <v>7770</v>
      </c>
      <c r="L466" s="496">
        <f ca="1">NET</f>
        <v>10350</v>
      </c>
      <c r="M466" s="222" t="str">
        <f ca="1">DL</f>
        <v>LAUT</v>
      </c>
      <c r="Q466" s="346"/>
    </row>
    <row r="467" spans="2:17" ht="15">
      <c r="B467" s="489" t="str">
        <f ca="1">SUPPAJA</f>
        <v>DINI CHAIRANI</v>
      </c>
      <c r="C467" s="338">
        <f ca="1">IF(COUNTIFS($B$3:B467,DATAKBA[[#This Row],[NAMA SUPP]],$E$3:E467,DATAKBA[[#This Row],[TANGGAL]])&lt;&gt;1,0,1)</f>
        <v>1</v>
      </c>
      <c r="D467" s="222">
        <f t="shared" si="34"/>
        <v>7</v>
      </c>
      <c r="E467" s="490">
        <v>43883</v>
      </c>
      <c r="F467" s="491" t="str">
        <f ca="1">DOC</f>
        <v>028</v>
      </c>
      <c r="G467" s="492" t="s">
        <v>334</v>
      </c>
      <c r="H467" s="493" t="s">
        <v>268</v>
      </c>
      <c r="I467" s="494">
        <v>1</v>
      </c>
      <c r="J467" s="495">
        <v>8220</v>
      </c>
      <c r="K467" s="495">
        <v>3800</v>
      </c>
      <c r="L467" s="496">
        <f ca="1">NET</f>
        <v>4420</v>
      </c>
      <c r="M467" s="222" t="str">
        <f ca="1">DL</f>
        <v>LAUT</v>
      </c>
      <c r="Q467" s="346"/>
    </row>
    <row r="468" spans="2:17" ht="15">
      <c r="B468" s="489" t="str">
        <f ca="1">SUPPAJA</f>
        <v>HENDRI</v>
      </c>
      <c r="C468" s="338">
        <f ca="1">IF(COUNTIFS($B$3:B468,DATAKBA[[#This Row],[NAMA SUPP]],$E$3:E468,DATAKBA[[#This Row],[TANGGAL]])&lt;&gt;1,0,1)</f>
        <v>1</v>
      </c>
      <c r="D468" s="222">
        <f t="shared" si="34"/>
        <v>8</v>
      </c>
      <c r="E468" s="490">
        <v>43883</v>
      </c>
      <c r="F468" s="491" t="str">
        <f ca="1">DOC</f>
        <v>021</v>
      </c>
      <c r="G468" s="492" t="s">
        <v>355</v>
      </c>
      <c r="H468" s="493" t="s">
        <v>255</v>
      </c>
      <c r="I468" s="494">
        <v>2</v>
      </c>
      <c r="J468" s="495">
        <v>17630</v>
      </c>
      <c r="K468" s="495">
        <v>7830</v>
      </c>
      <c r="L468" s="496">
        <f ca="1">NET</f>
        <v>9800</v>
      </c>
      <c r="M468" s="222" t="str">
        <f ca="1">DL</f>
        <v>LAUT</v>
      </c>
      <c r="Q468" s="346"/>
    </row>
    <row r="469" spans="2:17" ht="15">
      <c r="B469" s="489" t="str">
        <f ca="1">SUPPAJA</f>
        <v>MARTONO</v>
      </c>
      <c r="C469" s="338">
        <f ca="1">IF(COUNTIFS($B$3:B469,DATAKBA[[#This Row],[NAMA SUPP]],$E$3:E469,DATAKBA[[#This Row],[TANGGAL]])&lt;&gt;1,0,1)</f>
        <v>1</v>
      </c>
      <c r="D469" s="222">
        <f t="shared" si="34"/>
        <v>9</v>
      </c>
      <c r="E469" s="490">
        <v>43883</v>
      </c>
      <c r="F469" s="491" t="str">
        <f ca="1">DOC</f>
        <v>031</v>
      </c>
      <c r="G469" s="492" t="s">
        <v>278</v>
      </c>
      <c r="H469" s="493" t="s">
        <v>257</v>
      </c>
      <c r="I469" s="494">
        <v>1</v>
      </c>
      <c r="J469" s="495">
        <v>5840</v>
      </c>
      <c r="K469" s="495">
        <v>3940</v>
      </c>
      <c r="L469" s="496">
        <f ca="1">NET</f>
        <v>1900</v>
      </c>
      <c r="M469" s="222" t="str">
        <f ca="1">DL</f>
        <v>LAUT</v>
      </c>
      <c r="Q469" s="346"/>
    </row>
    <row r="470" spans="2:17" ht="15">
      <c r="B470" s="489" t="str">
        <f ca="1">SUPPAJA</f>
        <v>MARTONO</v>
      </c>
      <c r="C470" s="338">
        <f ca="1">IF(COUNTIFS($B$3:B470,DATAKBA[[#This Row],[NAMA SUPP]],$E$3:E470,DATAKBA[[#This Row],[TANGGAL]])&lt;&gt;1,0,1)</f>
        <v>0</v>
      </c>
      <c r="D470" s="222">
        <f t="shared" si="34"/>
        <v>10</v>
      </c>
      <c r="E470" s="490">
        <v>43883</v>
      </c>
      <c r="F470" s="491" t="str">
        <f ca="1">DOC</f>
        <v/>
      </c>
      <c r="G470" s="492" t="s">
        <v>279</v>
      </c>
      <c r="H470" s="493" t="s">
        <v>257</v>
      </c>
      <c r="I470" s="494">
        <v>3</v>
      </c>
      <c r="J470" s="495">
        <v>26760</v>
      </c>
      <c r="K470" s="495">
        <v>11720</v>
      </c>
      <c r="L470" s="496">
        <f ca="1">NET</f>
        <v>15040</v>
      </c>
      <c r="M470" s="222" t="str">
        <f ca="1">DL</f>
        <v>LAUT</v>
      </c>
      <c r="Q470" s="346"/>
    </row>
    <row r="471" spans="2:17" ht="15">
      <c r="B471" s="505" t="str">
        <f ca="1">SUPPAJA</f>
        <v>ERAWATI</v>
      </c>
      <c r="C471" s="338">
        <f ca="1">IF(COUNTIFS($B$3:B471,DATAKBA[[#This Row],[NAMA SUPP]],$E$3:E471,DATAKBA[[#This Row],[TANGGAL]])&lt;&gt;1,0,1)</f>
        <v>1</v>
      </c>
      <c r="D471" s="222">
        <f t="shared" ref="D471:D476" si="35">COUNTER_RUDI</f>
        <v>1</v>
      </c>
      <c r="E471" s="506">
        <v>43885</v>
      </c>
      <c r="F471" s="507" t="str">
        <f ca="1">DOC</f>
        <v>040</v>
      </c>
      <c r="G471" s="508" t="s">
        <v>220</v>
      </c>
      <c r="H471" s="509" t="s">
        <v>253</v>
      </c>
      <c r="I471" s="510">
        <v>2</v>
      </c>
      <c r="J471" s="511">
        <v>24990</v>
      </c>
      <c r="K471" s="511">
        <v>10510</v>
      </c>
      <c r="L471" s="512">
        <f ca="1">NET</f>
        <v>14480</v>
      </c>
      <c r="M471" s="222" t="str">
        <f ca="1">DL</f>
        <v>DARAT</v>
      </c>
      <c r="Q471" s="346"/>
    </row>
    <row r="472" spans="2:17" ht="15">
      <c r="B472" s="505" t="str">
        <f ca="1">SUPPAJA</f>
        <v>INDRAYANI</v>
      </c>
      <c r="C472" s="338">
        <f ca="1">IF(COUNTIFS($B$3:B472,DATAKBA[[#This Row],[NAMA SUPP]],$E$3:E472,DATAKBA[[#This Row],[TANGGAL]])&lt;&gt;1,0,1)</f>
        <v>1</v>
      </c>
      <c r="D472" s="222">
        <f t="shared" si="35"/>
        <v>2</v>
      </c>
      <c r="E472" s="506">
        <v>43885</v>
      </c>
      <c r="F472" s="507" t="str">
        <f ca="1">DOC</f>
        <v>036</v>
      </c>
      <c r="G472" s="508" t="s">
        <v>99</v>
      </c>
      <c r="H472" s="509" t="s">
        <v>253</v>
      </c>
      <c r="I472" s="510">
        <v>3</v>
      </c>
      <c r="J472" s="511">
        <v>30010</v>
      </c>
      <c r="K472" s="511">
        <v>10430</v>
      </c>
      <c r="L472" s="512">
        <f ca="1">NET</f>
        <v>19580</v>
      </c>
      <c r="M472" s="222" t="str">
        <f ca="1">DL</f>
        <v>DARAT</v>
      </c>
      <c r="Q472" s="346"/>
    </row>
    <row r="473" spans="2:17" ht="15">
      <c r="B473" s="505" t="str">
        <f ca="1">SUPPAJA</f>
        <v>RUSLAN JAYA, SH</v>
      </c>
      <c r="C473" s="338">
        <f ca="1">IF(COUNTIFS($B$3:B473,DATAKBA[[#This Row],[NAMA SUPP]],$E$3:E473,DATAKBA[[#This Row],[TANGGAL]])&lt;&gt;1,0,1)</f>
        <v>1</v>
      </c>
      <c r="D473" s="222">
        <f t="shared" si="35"/>
        <v>3</v>
      </c>
      <c r="E473" s="506">
        <v>43885</v>
      </c>
      <c r="F473" s="507" t="str">
        <f ca="1">DOC</f>
        <v>026</v>
      </c>
      <c r="G473" s="508" t="s">
        <v>230</v>
      </c>
      <c r="H473" s="509" t="s">
        <v>255</v>
      </c>
      <c r="I473" s="510">
        <v>7</v>
      </c>
      <c r="J473" s="511">
        <v>56090</v>
      </c>
      <c r="K473" s="511">
        <v>22090</v>
      </c>
      <c r="L473" s="512">
        <f ca="1">NET</f>
        <v>34000</v>
      </c>
      <c r="M473" s="222" t="str">
        <f ca="1">DL</f>
        <v>DARAT</v>
      </c>
      <c r="Q473" s="346"/>
    </row>
    <row r="474" spans="2:17" ht="15">
      <c r="B474" s="505" t="str">
        <f ca="1">SUPPAJA</f>
        <v>YANADI</v>
      </c>
      <c r="C474" s="338">
        <f ca="1">IF(COUNTIFS($B$3:B474,DATAKBA[[#This Row],[NAMA SUPP]],$E$3:E474,DATAKBA[[#This Row],[TANGGAL]])&lt;&gt;1,0,1)</f>
        <v>1</v>
      </c>
      <c r="D474" s="222">
        <f t="shared" si="35"/>
        <v>4</v>
      </c>
      <c r="E474" s="506">
        <v>43885</v>
      </c>
      <c r="F474" s="513" t="str">
        <f ca="1">DOC</f>
        <v>028</v>
      </c>
      <c r="G474" s="514" t="s">
        <v>137</v>
      </c>
      <c r="H474" s="515" t="s">
        <v>265</v>
      </c>
      <c r="I474" s="516">
        <v>2</v>
      </c>
      <c r="J474" s="511">
        <v>31440</v>
      </c>
      <c r="K474" s="511">
        <v>9500</v>
      </c>
      <c r="L474" s="512">
        <f ca="1">NET</f>
        <v>21940</v>
      </c>
      <c r="M474" s="222" t="str">
        <f ca="1">DL</f>
        <v>DARAT</v>
      </c>
      <c r="Q474" s="346"/>
    </row>
    <row r="475" spans="2:17" ht="15">
      <c r="B475" s="505" t="str">
        <f ca="1">SUPPAJA</f>
        <v>DINI CHAIRANI</v>
      </c>
      <c r="C475" s="338">
        <f ca="1">IF(COUNTIFS($B$3:B475,DATAKBA[[#This Row],[NAMA SUPP]],$E$3:E475,DATAKBA[[#This Row],[TANGGAL]])&lt;&gt;1,0,1)</f>
        <v>1</v>
      </c>
      <c r="D475" s="222">
        <f t="shared" si="35"/>
        <v>5</v>
      </c>
      <c r="E475" s="506">
        <v>43885</v>
      </c>
      <c r="F475" s="513" t="str">
        <f ca="1">DOC</f>
        <v>029</v>
      </c>
      <c r="G475" s="514" t="s">
        <v>269</v>
      </c>
      <c r="H475" s="515" t="s">
        <v>268</v>
      </c>
      <c r="I475" s="516">
        <v>5</v>
      </c>
      <c r="J475" s="511">
        <v>39300</v>
      </c>
      <c r="K475" s="511">
        <v>19130</v>
      </c>
      <c r="L475" s="512">
        <f ca="1">NET</f>
        <v>20170</v>
      </c>
      <c r="M475" s="222" t="str">
        <f ca="1">DL</f>
        <v>LAUT</v>
      </c>
      <c r="Q475" s="346"/>
    </row>
    <row r="476" spans="2:17" ht="15">
      <c r="B476" s="505" t="str">
        <f ca="1">SUPPAJA</f>
        <v>MARTONO</v>
      </c>
      <c r="C476" s="338">
        <f ca="1">IF(COUNTIFS($B$3:B476,DATAKBA[[#This Row],[NAMA SUPP]],$E$3:E476,DATAKBA[[#This Row],[TANGGAL]])&lt;&gt;1,0,1)</f>
        <v>1</v>
      </c>
      <c r="D476" s="222">
        <f t="shared" si="35"/>
        <v>6</v>
      </c>
      <c r="E476" s="506">
        <v>43885</v>
      </c>
      <c r="F476" s="513" t="str">
        <f ca="1">DOC</f>
        <v>032</v>
      </c>
      <c r="G476" s="514" t="s">
        <v>356</v>
      </c>
      <c r="H476" s="515" t="s">
        <v>257</v>
      </c>
      <c r="I476" s="516">
        <v>2</v>
      </c>
      <c r="J476" s="511">
        <v>13810</v>
      </c>
      <c r="K476" s="511">
        <v>7760</v>
      </c>
      <c r="L476" s="512">
        <f ca="1">NET</f>
        <v>6050</v>
      </c>
      <c r="M476" s="222" t="str">
        <f ca="1">DL</f>
        <v>LAUT</v>
      </c>
      <c r="Q476" s="346"/>
    </row>
    <row r="477" spans="2:17" ht="15">
      <c r="B477" s="505" t="str">
        <f ca="1">SUPPAJA</f>
        <v>ERAWATI</v>
      </c>
      <c r="C477" s="338">
        <f ca="1">IF(COUNTIFS($B$3:B477,DATAKBA[[#This Row],[NAMA SUPP]],$E$3:E477,DATAKBA[[#This Row],[TANGGAL]])&lt;&gt;1,0,1)</f>
        <v>1</v>
      </c>
      <c r="D477" s="222">
        <f t="shared" ref="D477:D488" si="36">COUNTER_RUDI</f>
        <v>1</v>
      </c>
      <c r="E477" s="506">
        <v>43886</v>
      </c>
      <c r="F477" s="507" t="str">
        <f ca="1">DOC</f>
        <v>041</v>
      </c>
      <c r="G477" s="508" t="s">
        <v>220</v>
      </c>
      <c r="H477" s="509" t="s">
        <v>253</v>
      </c>
      <c r="I477" s="510">
        <v>2</v>
      </c>
      <c r="J477" s="511">
        <v>22490</v>
      </c>
      <c r="K477" s="511">
        <v>9150</v>
      </c>
      <c r="L477" s="512">
        <f ca="1">NET</f>
        <v>13340</v>
      </c>
      <c r="M477" s="222" t="str">
        <f ca="1">DL</f>
        <v>DARAT</v>
      </c>
      <c r="Q477" s="346"/>
    </row>
    <row r="478" spans="2:17" ht="15">
      <c r="B478" s="505" t="str">
        <f ca="1">SUPPAJA</f>
        <v>INDRAYANI</v>
      </c>
      <c r="C478" s="338">
        <f ca="1">IF(COUNTIFS($B$3:B478,DATAKBA[[#This Row],[NAMA SUPP]],$E$3:E478,DATAKBA[[#This Row],[TANGGAL]])&lt;&gt;1,0,1)</f>
        <v>1</v>
      </c>
      <c r="D478" s="222">
        <f t="shared" si="36"/>
        <v>2</v>
      </c>
      <c r="E478" s="506">
        <v>43886</v>
      </c>
      <c r="F478" s="507" t="str">
        <f ca="1">DOC</f>
        <v>037</v>
      </c>
      <c r="G478" s="508" t="s">
        <v>99</v>
      </c>
      <c r="H478" s="509" t="s">
        <v>253</v>
      </c>
      <c r="I478" s="510">
        <v>3</v>
      </c>
      <c r="J478" s="511">
        <v>31870</v>
      </c>
      <c r="K478" s="511">
        <v>12960</v>
      </c>
      <c r="L478" s="512">
        <f ca="1">NET</f>
        <v>18910</v>
      </c>
      <c r="M478" s="222" t="str">
        <f ca="1">DL</f>
        <v>DARAT</v>
      </c>
      <c r="Q478" s="346"/>
    </row>
    <row r="479" spans="2:17" ht="15">
      <c r="B479" s="505" t="str">
        <f ca="1">SUPPAJA</f>
        <v>RUSLAN JAYA, SH</v>
      </c>
      <c r="C479" s="338">
        <f ca="1">IF(COUNTIFS($B$3:B479,DATAKBA[[#This Row],[NAMA SUPP]],$E$3:E479,DATAKBA[[#This Row],[TANGGAL]])&lt;&gt;1,0,1)</f>
        <v>1</v>
      </c>
      <c r="D479" s="222">
        <f t="shared" si="36"/>
        <v>3</v>
      </c>
      <c r="E479" s="506">
        <v>43886</v>
      </c>
      <c r="F479" s="507" t="str">
        <f ca="1">DOC</f>
        <v>027</v>
      </c>
      <c r="G479" s="508" t="s">
        <v>230</v>
      </c>
      <c r="H479" s="509" t="s">
        <v>255</v>
      </c>
      <c r="I479" s="510">
        <v>2</v>
      </c>
      <c r="J479" s="511">
        <v>14340</v>
      </c>
      <c r="K479" s="511">
        <v>6080</v>
      </c>
      <c r="L479" s="512">
        <f ca="1">NET</f>
        <v>8260</v>
      </c>
      <c r="M479" s="222" t="str">
        <f ca="1">DL</f>
        <v>DARAT</v>
      </c>
      <c r="Q479" s="346"/>
    </row>
    <row r="480" spans="2:17" ht="15">
      <c r="B480" s="505" t="str">
        <f ca="1">SUPPAJA</f>
        <v>YANADI</v>
      </c>
      <c r="C480" s="338">
        <f ca="1">IF(COUNTIFS($B$3:B480,DATAKBA[[#This Row],[NAMA SUPP]],$E$3:E480,DATAKBA[[#This Row],[TANGGAL]])&lt;&gt;1,0,1)</f>
        <v>1</v>
      </c>
      <c r="D480" s="222">
        <f t="shared" si="36"/>
        <v>4</v>
      </c>
      <c r="E480" s="506">
        <v>43886</v>
      </c>
      <c r="F480" s="513" t="str">
        <f ca="1">DOC</f>
        <v>029</v>
      </c>
      <c r="G480" s="514" t="s">
        <v>137</v>
      </c>
      <c r="H480" s="515" t="s">
        <v>265</v>
      </c>
      <c r="I480" s="516">
        <v>2</v>
      </c>
      <c r="J480" s="511">
        <v>18030</v>
      </c>
      <c r="K480" s="511">
        <v>6070</v>
      </c>
      <c r="L480" s="512">
        <f ca="1">NET</f>
        <v>11960</v>
      </c>
      <c r="M480" s="222" t="str">
        <f ca="1">DL</f>
        <v>DARAT</v>
      </c>
      <c r="Q480" s="346"/>
    </row>
    <row r="481" spans="2:17" ht="15">
      <c r="B481" s="505" t="str">
        <f ca="1">SUPPAJA</f>
        <v>DINI CHAIRANI</v>
      </c>
      <c r="C481" s="338">
        <f ca="1">IF(COUNTIFS($B$3:B481,DATAKBA[[#This Row],[NAMA SUPP]],$E$3:E481,DATAKBA[[#This Row],[TANGGAL]])&lt;&gt;1,0,1)</f>
        <v>1</v>
      </c>
      <c r="D481" s="222">
        <f t="shared" si="36"/>
        <v>5</v>
      </c>
      <c r="E481" s="506">
        <v>43886</v>
      </c>
      <c r="F481" s="507" t="str">
        <f ca="1">DOC</f>
        <v>030</v>
      </c>
      <c r="G481" s="508" t="s">
        <v>334</v>
      </c>
      <c r="H481" s="509" t="s">
        <v>268</v>
      </c>
      <c r="I481" s="510">
        <v>2</v>
      </c>
      <c r="J481" s="511">
        <v>13710</v>
      </c>
      <c r="K481" s="511">
        <v>7760</v>
      </c>
      <c r="L481" s="512">
        <f ca="1">NET</f>
        <v>5950</v>
      </c>
      <c r="M481" s="222" t="str">
        <f ca="1">DL</f>
        <v>LAUT</v>
      </c>
      <c r="Q481" s="346"/>
    </row>
    <row r="482" spans="2:17" ht="15">
      <c r="B482" s="505" t="str">
        <f ca="1">SUPPAJA</f>
        <v>DINI CHAIRANI</v>
      </c>
      <c r="C482" s="338">
        <f ca="1">IF(COUNTIFS($B$3:B482,DATAKBA[[#This Row],[NAMA SUPP]],$E$3:E482,DATAKBA[[#This Row],[TANGGAL]])&lt;&gt;1,0,1)</f>
        <v>0</v>
      </c>
      <c r="D482" s="222">
        <f t="shared" si="36"/>
        <v>6</v>
      </c>
      <c r="E482" s="506">
        <v>43886</v>
      </c>
      <c r="F482" s="507" t="str">
        <f ca="1">DOC</f>
        <v/>
      </c>
      <c r="G482" s="508" t="s">
        <v>404</v>
      </c>
      <c r="H482" s="509" t="s">
        <v>268</v>
      </c>
      <c r="I482" s="510">
        <v>1</v>
      </c>
      <c r="J482" s="511">
        <v>7670</v>
      </c>
      <c r="K482" s="511">
        <v>3890</v>
      </c>
      <c r="L482" s="512">
        <f ca="1">NET</f>
        <v>3780</v>
      </c>
      <c r="M482" s="222" t="str">
        <f ca="1">DL</f>
        <v>LAUT</v>
      </c>
      <c r="Q482" s="346"/>
    </row>
    <row r="483" spans="2:17" ht="15">
      <c r="B483" s="505" t="str">
        <f ca="1">SUPPAJA</f>
        <v>ERAWATI</v>
      </c>
      <c r="C483" s="338">
        <f ca="1">IF(COUNTIFS($B$3:B483,DATAKBA[[#This Row],[NAMA SUPP]],$E$3:E483,DATAKBA[[#This Row],[TANGGAL]])&lt;&gt;1,0,1)</f>
        <v>0</v>
      </c>
      <c r="D483" s="222">
        <f t="shared" si="36"/>
        <v>7</v>
      </c>
      <c r="E483" s="506">
        <v>43886</v>
      </c>
      <c r="F483" s="507" t="str">
        <f ca="1">DOC</f>
        <v>041</v>
      </c>
      <c r="G483" s="508" t="s">
        <v>325</v>
      </c>
      <c r="H483" s="509" t="s">
        <v>253</v>
      </c>
      <c r="I483" s="510">
        <v>1</v>
      </c>
      <c r="J483" s="511">
        <v>7780</v>
      </c>
      <c r="K483" s="511">
        <v>3920</v>
      </c>
      <c r="L483" s="512">
        <f ca="1">NET</f>
        <v>3860</v>
      </c>
      <c r="M483" s="222" t="str">
        <f ca="1">DL</f>
        <v>LAUT</v>
      </c>
      <c r="Q483" s="346"/>
    </row>
    <row r="484" spans="2:17" ht="15">
      <c r="B484" s="505" t="str">
        <f ca="1">SUPPAJA</f>
        <v>HENDRI</v>
      </c>
      <c r="C484" s="338">
        <f ca="1">IF(COUNTIFS($B$3:B484,DATAKBA[[#This Row],[NAMA SUPP]],$E$3:E484,DATAKBA[[#This Row],[TANGGAL]])&lt;&gt;1,0,1)</f>
        <v>1</v>
      </c>
      <c r="D484" s="222">
        <f t="shared" si="36"/>
        <v>8</v>
      </c>
      <c r="E484" s="506">
        <v>43886</v>
      </c>
      <c r="F484" s="507" t="str">
        <f ca="1">DOC</f>
        <v>022</v>
      </c>
      <c r="G484" s="508" t="s">
        <v>342</v>
      </c>
      <c r="H484" s="509" t="s">
        <v>255</v>
      </c>
      <c r="I484" s="510">
        <v>4</v>
      </c>
      <c r="J484" s="511">
        <v>34930</v>
      </c>
      <c r="K484" s="511">
        <v>15550</v>
      </c>
      <c r="L484" s="512">
        <f ca="1">NET</f>
        <v>19380</v>
      </c>
      <c r="M484" s="222" t="str">
        <f ca="1">DL</f>
        <v>LAUT</v>
      </c>
      <c r="Q484" s="346"/>
    </row>
    <row r="485" spans="2:17" ht="15">
      <c r="B485" s="505" t="str">
        <f ca="1">SUPPAJA</f>
        <v>MARTONO</v>
      </c>
      <c r="C485" s="338">
        <f ca="1">IF(COUNTIFS($B$3:B485,DATAKBA[[#This Row],[NAMA SUPP]],$E$3:E485,DATAKBA[[#This Row],[TANGGAL]])&lt;&gt;1,0,1)</f>
        <v>1</v>
      </c>
      <c r="D485" s="222">
        <f t="shared" si="36"/>
        <v>9</v>
      </c>
      <c r="E485" s="506">
        <v>43886</v>
      </c>
      <c r="F485" s="507" t="str">
        <f ca="1">DOC</f>
        <v>033</v>
      </c>
      <c r="G485" s="508" t="s">
        <v>426</v>
      </c>
      <c r="H485" s="509" t="s">
        <v>257</v>
      </c>
      <c r="I485" s="510">
        <v>5</v>
      </c>
      <c r="J485" s="511">
        <v>37730</v>
      </c>
      <c r="K485" s="511">
        <v>19240</v>
      </c>
      <c r="L485" s="512">
        <f ca="1">NET</f>
        <v>18490</v>
      </c>
      <c r="M485" s="222" t="str">
        <f ca="1">DL</f>
        <v>LAUT</v>
      </c>
      <c r="Q485" s="346"/>
    </row>
    <row r="486" spans="2:17" ht="15">
      <c r="B486" s="505" t="str">
        <f ca="1">SUPPAJA</f>
        <v>MARTONO</v>
      </c>
      <c r="C486" s="338">
        <f ca="1">IF(COUNTIFS($B$3:B486,DATAKBA[[#This Row],[NAMA SUPP]],$E$3:E486,DATAKBA[[#This Row],[TANGGAL]])&lt;&gt;1,0,1)</f>
        <v>0</v>
      </c>
      <c r="D486" s="222">
        <f t="shared" si="36"/>
        <v>10</v>
      </c>
      <c r="E486" s="506">
        <v>43886</v>
      </c>
      <c r="F486" s="507" t="str">
        <f ca="1">DOC</f>
        <v/>
      </c>
      <c r="G486" s="508" t="s">
        <v>278</v>
      </c>
      <c r="H486" s="509" t="s">
        <v>257</v>
      </c>
      <c r="I486" s="510">
        <v>1</v>
      </c>
      <c r="J486" s="511">
        <v>5420</v>
      </c>
      <c r="K486" s="511">
        <v>3890</v>
      </c>
      <c r="L486" s="512">
        <f ca="1">NET</f>
        <v>1530</v>
      </c>
      <c r="M486" s="222" t="str">
        <f ca="1">DL</f>
        <v>LAUT</v>
      </c>
      <c r="Q486" s="346"/>
    </row>
    <row r="487" spans="2:17" ht="15">
      <c r="B487" s="505" t="str">
        <f ca="1">SUPPAJA</f>
        <v>MARTONO</v>
      </c>
      <c r="C487" s="338">
        <f ca="1">IF(COUNTIFS($B$3:B487,DATAKBA[[#This Row],[NAMA SUPP]],$E$3:E487,DATAKBA[[#This Row],[TANGGAL]])&lt;&gt;1,0,1)</f>
        <v>0</v>
      </c>
      <c r="D487" s="222">
        <f t="shared" si="36"/>
        <v>11</v>
      </c>
      <c r="E487" s="506">
        <v>43886</v>
      </c>
      <c r="F487" s="507" t="str">
        <f ca="1">DOC</f>
        <v/>
      </c>
      <c r="G487" s="508" t="s">
        <v>427</v>
      </c>
      <c r="H487" s="509" t="s">
        <v>257</v>
      </c>
      <c r="I487" s="510">
        <v>1</v>
      </c>
      <c r="J487" s="511">
        <v>7730</v>
      </c>
      <c r="K487" s="511">
        <v>3880</v>
      </c>
      <c r="L487" s="512">
        <f ca="1">NET</f>
        <v>3850</v>
      </c>
      <c r="M487" s="222" t="str">
        <f ca="1">DL</f>
        <v>LAUT</v>
      </c>
      <c r="Q487" s="346"/>
    </row>
    <row r="488" spans="2:17" ht="15">
      <c r="B488" s="505" t="str">
        <f ca="1">SUPPAJA</f>
        <v>MARTONO</v>
      </c>
      <c r="C488" s="338">
        <f ca="1">IF(COUNTIFS($B$3:B488,DATAKBA[[#This Row],[NAMA SUPP]],$E$3:E488,DATAKBA[[#This Row],[TANGGAL]])&lt;&gt;1,0,1)</f>
        <v>0</v>
      </c>
      <c r="D488" s="222">
        <f t="shared" si="36"/>
        <v>12</v>
      </c>
      <c r="E488" s="506">
        <v>43886</v>
      </c>
      <c r="F488" s="513" t="str">
        <f ca="1">DOC</f>
        <v/>
      </c>
      <c r="G488" s="514" t="s">
        <v>271</v>
      </c>
      <c r="H488" s="515" t="s">
        <v>257</v>
      </c>
      <c r="I488" s="516">
        <v>2</v>
      </c>
      <c r="J488" s="511">
        <v>17400</v>
      </c>
      <c r="K488" s="511">
        <v>7780</v>
      </c>
      <c r="L488" s="512">
        <f ca="1">NET</f>
        <v>9620</v>
      </c>
      <c r="M488" s="222" t="str">
        <f ca="1">DL</f>
        <v>LAUT</v>
      </c>
      <c r="Q488" s="346"/>
    </row>
    <row r="489" spans="2:17" ht="15">
      <c r="B489" s="505" t="str">
        <f ca="1">SUPPAJA</f>
        <v>ERAWATI</v>
      </c>
      <c r="C489" s="338">
        <f ca="1">IF(COUNTIFS($B$3:B489,DATAKBA[[#This Row],[NAMA SUPP]],$E$3:E489,DATAKBA[[#This Row],[TANGGAL]])&lt;&gt;1,0,1)</f>
        <v>1</v>
      </c>
      <c r="D489" s="222">
        <f t="shared" ref="D489:D497" si="37">COUNTER_RUDI</f>
        <v>1</v>
      </c>
      <c r="E489" s="506">
        <v>43887</v>
      </c>
      <c r="F489" s="507" t="str">
        <f ca="1">DOC</f>
        <v>042</v>
      </c>
      <c r="G489" s="508" t="s">
        <v>220</v>
      </c>
      <c r="H489" s="509" t="s">
        <v>253</v>
      </c>
      <c r="I489" s="510">
        <v>4</v>
      </c>
      <c r="J489" s="511">
        <v>36740</v>
      </c>
      <c r="K489" s="511">
        <v>14580</v>
      </c>
      <c r="L489" s="512">
        <f ca="1">NET</f>
        <v>22160</v>
      </c>
      <c r="M489" s="222" t="str">
        <f ca="1">DL</f>
        <v>DARAT</v>
      </c>
      <c r="Q489" s="346"/>
    </row>
    <row r="490" spans="2:17" ht="15">
      <c r="B490" s="505" t="str">
        <f ca="1">SUPPAJA</f>
        <v>INDRAYANI</v>
      </c>
      <c r="C490" s="338">
        <f ca="1">IF(COUNTIFS($B$3:B490,DATAKBA[[#This Row],[NAMA SUPP]],$E$3:E490,DATAKBA[[#This Row],[TANGGAL]])&lt;&gt;1,0,1)</f>
        <v>1</v>
      </c>
      <c r="D490" s="222">
        <f t="shared" si="37"/>
        <v>2</v>
      </c>
      <c r="E490" s="506">
        <v>43887</v>
      </c>
      <c r="F490" s="507" t="str">
        <f ca="1">DOC</f>
        <v>038</v>
      </c>
      <c r="G490" s="508" t="s">
        <v>99</v>
      </c>
      <c r="H490" s="509" t="s">
        <v>253</v>
      </c>
      <c r="I490" s="510">
        <v>4</v>
      </c>
      <c r="J490" s="511">
        <v>47000</v>
      </c>
      <c r="K490" s="511">
        <v>15620</v>
      </c>
      <c r="L490" s="512">
        <f ca="1">NET</f>
        <v>31380</v>
      </c>
      <c r="M490" s="222" t="str">
        <f ca="1">DL</f>
        <v>DARAT</v>
      </c>
      <c r="Q490" s="346"/>
    </row>
    <row r="491" spans="2:17" ht="15">
      <c r="B491" s="505" t="str">
        <f ca="1">SUPPAJA</f>
        <v>RUSLAN JAYA, SH</v>
      </c>
      <c r="C491" s="338">
        <f ca="1">IF(COUNTIFS($B$3:B491,DATAKBA[[#This Row],[NAMA SUPP]],$E$3:E491,DATAKBA[[#This Row],[TANGGAL]])&lt;&gt;1,0,1)</f>
        <v>1</v>
      </c>
      <c r="D491" s="222">
        <f t="shared" si="37"/>
        <v>3</v>
      </c>
      <c r="E491" s="506">
        <v>43887</v>
      </c>
      <c r="F491" s="507" t="str">
        <f ca="1">DOC</f>
        <v>028</v>
      </c>
      <c r="G491" s="508" t="s">
        <v>230</v>
      </c>
      <c r="H491" s="509" t="s">
        <v>255</v>
      </c>
      <c r="I491" s="510">
        <v>4</v>
      </c>
      <c r="J491" s="511">
        <v>32550</v>
      </c>
      <c r="K491" s="511">
        <v>14150</v>
      </c>
      <c r="L491" s="512">
        <f ca="1">NET</f>
        <v>18400</v>
      </c>
      <c r="M491" s="222" t="str">
        <f ca="1">DL</f>
        <v>DARAT</v>
      </c>
      <c r="Q491" s="346"/>
    </row>
    <row r="492" spans="2:17" ht="15">
      <c r="B492" s="505" t="str">
        <f ca="1">SUPPAJA</f>
        <v>YANADI</v>
      </c>
      <c r="C492" s="338">
        <f ca="1">IF(COUNTIFS($B$3:B492,DATAKBA[[#This Row],[NAMA SUPP]],$E$3:E492,DATAKBA[[#This Row],[TANGGAL]])&lt;&gt;1,0,1)</f>
        <v>1</v>
      </c>
      <c r="D492" s="222">
        <f t="shared" si="37"/>
        <v>4</v>
      </c>
      <c r="E492" s="506">
        <v>43887</v>
      </c>
      <c r="F492" s="513" t="str">
        <f ca="1">DOC</f>
        <v>030</v>
      </c>
      <c r="G492" s="514" t="s">
        <v>137</v>
      </c>
      <c r="H492" s="515" t="s">
        <v>265</v>
      </c>
      <c r="I492" s="516">
        <v>2</v>
      </c>
      <c r="J492" s="511">
        <v>17920</v>
      </c>
      <c r="K492" s="511">
        <v>5940</v>
      </c>
      <c r="L492" s="512">
        <f ca="1">NET</f>
        <v>11980</v>
      </c>
      <c r="M492" s="222" t="str">
        <f ca="1">DL</f>
        <v>DARAT</v>
      </c>
      <c r="Q492" s="346"/>
    </row>
    <row r="493" spans="2:17" ht="15">
      <c r="B493" s="351" t="str">
        <f ca="1">SUPPAJA</f>
        <v>YANADI</v>
      </c>
      <c r="C493" s="338">
        <f ca="1">IF(COUNTIFS($B$3:B493,DATAKBA[[#This Row],[NAMA SUPP]],$E$3:E493,DATAKBA[[#This Row],[TANGGAL]])&lt;&gt;1,0,1)</f>
        <v>0</v>
      </c>
      <c r="D493" s="222">
        <f t="shared" si="37"/>
        <v>5</v>
      </c>
      <c r="E493" s="506">
        <v>43887</v>
      </c>
      <c r="F493" s="210" t="str">
        <f ca="1">DOC</f>
        <v/>
      </c>
      <c r="G493" s="207" t="s">
        <v>374</v>
      </c>
      <c r="H493" s="209" t="s">
        <v>265</v>
      </c>
      <c r="I493" s="208">
        <v>3</v>
      </c>
      <c r="J493" s="213">
        <v>25090</v>
      </c>
      <c r="K493" s="213">
        <v>11660</v>
      </c>
      <c r="L493" s="356">
        <f ca="1">NET</f>
        <v>13430</v>
      </c>
      <c r="M493" s="222" t="str">
        <f ca="1">DL</f>
        <v>LAUT</v>
      </c>
      <c r="Q493" s="346"/>
    </row>
    <row r="494" spans="2:17" ht="15">
      <c r="B494" s="351" t="str">
        <f ca="1">SUPPAJA</f>
        <v>DINI CHAIRANI</v>
      </c>
      <c r="C494" s="338">
        <f ca="1">IF(COUNTIFS($B$3:B494,DATAKBA[[#This Row],[NAMA SUPP]],$E$3:E494,DATAKBA[[#This Row],[TANGGAL]])&lt;&gt;1,0,1)</f>
        <v>1</v>
      </c>
      <c r="D494" s="222">
        <f t="shared" si="37"/>
        <v>6</v>
      </c>
      <c r="E494" s="506">
        <v>43887</v>
      </c>
      <c r="F494" s="352" t="str">
        <f ca="1">DOC</f>
        <v>031</v>
      </c>
      <c r="G494" s="353" t="s">
        <v>228</v>
      </c>
      <c r="H494" s="354" t="s">
        <v>268</v>
      </c>
      <c r="I494" s="355">
        <v>2</v>
      </c>
      <c r="J494" s="213">
        <v>14870</v>
      </c>
      <c r="K494" s="213">
        <v>7770</v>
      </c>
      <c r="L494" s="356">
        <f ca="1">NET</f>
        <v>7100</v>
      </c>
      <c r="M494" s="222" t="str">
        <f ca="1">DL</f>
        <v>LAUT</v>
      </c>
      <c r="Q494" s="346"/>
    </row>
    <row r="495" spans="2:17" ht="15">
      <c r="B495" s="351" t="str">
        <f ca="1">SUPPAJA</f>
        <v>HENDRI</v>
      </c>
      <c r="C495" s="338">
        <f ca="1">IF(COUNTIFS($B$3:B495,DATAKBA[[#This Row],[NAMA SUPP]],$E$3:E495,DATAKBA[[#This Row],[TANGGAL]])&lt;&gt;1,0,1)</f>
        <v>1</v>
      </c>
      <c r="D495" s="222">
        <f t="shared" si="37"/>
        <v>7</v>
      </c>
      <c r="E495" s="506">
        <v>43887</v>
      </c>
      <c r="F495" s="352" t="str">
        <f ca="1">DOC</f>
        <v>023</v>
      </c>
      <c r="G495" s="353" t="s">
        <v>335</v>
      </c>
      <c r="H495" s="354" t="s">
        <v>255</v>
      </c>
      <c r="I495" s="355">
        <v>4</v>
      </c>
      <c r="J495" s="213">
        <v>33360</v>
      </c>
      <c r="K495" s="213">
        <v>15590</v>
      </c>
      <c r="L495" s="356">
        <f ca="1">NET</f>
        <v>17770</v>
      </c>
      <c r="M495" s="222" t="str">
        <f ca="1">DL</f>
        <v>LAUT</v>
      </c>
      <c r="Q495" s="346"/>
    </row>
    <row r="496" spans="2:17" ht="15">
      <c r="B496" s="351" t="str">
        <f ca="1">SUPPAJA</f>
        <v>MARTONO</v>
      </c>
      <c r="C496" s="338">
        <f ca="1">IF(COUNTIFS($B$3:B496,DATAKBA[[#This Row],[NAMA SUPP]],$E$3:E496,DATAKBA[[#This Row],[TANGGAL]])&lt;&gt;1,0,1)</f>
        <v>1</v>
      </c>
      <c r="D496" s="222">
        <f t="shared" si="37"/>
        <v>8</v>
      </c>
      <c r="E496" s="506">
        <v>43887</v>
      </c>
      <c r="F496" s="352" t="str">
        <f ca="1">DOC</f>
        <v>034</v>
      </c>
      <c r="G496" s="353" t="s">
        <v>347</v>
      </c>
      <c r="H496" s="354" t="s">
        <v>257</v>
      </c>
      <c r="I496" s="355">
        <v>2</v>
      </c>
      <c r="J496" s="213">
        <v>17760</v>
      </c>
      <c r="K496" s="213">
        <v>7790</v>
      </c>
      <c r="L496" s="356">
        <f ca="1">NET</f>
        <v>9970</v>
      </c>
      <c r="M496" s="222" t="str">
        <f ca="1">DL</f>
        <v>LAUT</v>
      </c>
      <c r="Q496" s="346"/>
    </row>
    <row r="497" spans="2:17" ht="15">
      <c r="B497" s="351" t="str">
        <f ca="1">SUPPAJA</f>
        <v>MASRI</v>
      </c>
      <c r="C497" s="338">
        <f ca="1">IF(COUNTIFS($B$3:B497,DATAKBA[[#This Row],[NAMA SUPP]],$E$3:E497,DATAKBA[[#This Row],[TANGGAL]])&lt;&gt;1,0,1)</f>
        <v>1</v>
      </c>
      <c r="D497" s="222">
        <f t="shared" si="37"/>
        <v>9</v>
      </c>
      <c r="E497" s="506">
        <v>43887</v>
      </c>
      <c r="F497" s="210" t="str">
        <f ca="1">DOC</f>
        <v>025</v>
      </c>
      <c r="G497" s="207" t="s">
        <v>336</v>
      </c>
      <c r="H497" s="209" t="s">
        <v>260</v>
      </c>
      <c r="I497" s="208">
        <v>17</v>
      </c>
      <c r="J497" s="213">
        <v>146200</v>
      </c>
      <c r="K497" s="213">
        <v>66260</v>
      </c>
      <c r="L497" s="356">
        <f ca="1">NET</f>
        <v>79940</v>
      </c>
      <c r="M497" s="222" t="str">
        <f ca="1">DL</f>
        <v>LAUT</v>
      </c>
      <c r="Q497" s="346"/>
    </row>
    <row r="498" spans="2:17" ht="15">
      <c r="B498" s="505" t="str">
        <f ca="1">SUPPAJA</f>
        <v>ERAWATI</v>
      </c>
      <c r="C498" s="338">
        <f ca="1">IF(COUNTIFS($B$3:B498,DATAKBA[[#This Row],[NAMA SUPP]],$E$3:E498,DATAKBA[[#This Row],[TANGGAL]])&lt;&gt;1,0,1)</f>
        <v>1</v>
      </c>
      <c r="D498" s="222">
        <f t="shared" ref="D498:D507" si="38">COUNTER_RUDI</f>
        <v>1</v>
      </c>
      <c r="E498" s="506">
        <v>43888</v>
      </c>
      <c r="F498" s="507" t="str">
        <f ca="1">DOC</f>
        <v>043</v>
      </c>
      <c r="G498" s="508" t="s">
        <v>220</v>
      </c>
      <c r="H498" s="509" t="s">
        <v>253</v>
      </c>
      <c r="I498" s="510">
        <v>5</v>
      </c>
      <c r="J498" s="511">
        <v>45920</v>
      </c>
      <c r="K498" s="511">
        <v>21370</v>
      </c>
      <c r="L498" s="512">
        <f ca="1">NET</f>
        <v>24550</v>
      </c>
      <c r="M498" s="222" t="str">
        <f ca="1">DL</f>
        <v>DARAT</v>
      </c>
      <c r="Q498" s="346"/>
    </row>
    <row r="499" spans="2:17" ht="15">
      <c r="B499" s="505" t="str">
        <f ca="1">SUPPAJA</f>
        <v>INDRAYANI</v>
      </c>
      <c r="C499" s="338">
        <f ca="1">IF(COUNTIFS($B$3:B499,DATAKBA[[#This Row],[NAMA SUPP]],$E$3:E499,DATAKBA[[#This Row],[TANGGAL]])&lt;&gt;1,0,1)</f>
        <v>1</v>
      </c>
      <c r="D499" s="222">
        <f t="shared" si="38"/>
        <v>2</v>
      </c>
      <c r="E499" s="506">
        <v>43888</v>
      </c>
      <c r="F499" s="507" t="str">
        <f ca="1">DOC</f>
        <v>039</v>
      </c>
      <c r="G499" s="508" t="s">
        <v>99</v>
      </c>
      <c r="H499" s="509" t="s">
        <v>253</v>
      </c>
      <c r="I499" s="510">
        <v>5</v>
      </c>
      <c r="J499" s="511">
        <v>56260</v>
      </c>
      <c r="K499" s="511">
        <v>28140</v>
      </c>
      <c r="L499" s="512">
        <f ca="1">NET</f>
        <v>28120</v>
      </c>
      <c r="M499" s="222" t="str">
        <f ca="1">DL</f>
        <v>DARAT</v>
      </c>
      <c r="Q499" s="346"/>
    </row>
    <row r="500" spans="2:17" ht="15">
      <c r="B500" s="505" t="str">
        <f ca="1">SUPPAJA</f>
        <v>RUSLAN JAYA, SH</v>
      </c>
      <c r="C500" s="338">
        <f ca="1">IF(COUNTIFS($B$3:B500,DATAKBA[[#This Row],[NAMA SUPP]],$E$3:E500,DATAKBA[[#This Row],[TANGGAL]])&lt;&gt;1,0,1)</f>
        <v>1</v>
      </c>
      <c r="D500" s="222">
        <f t="shared" si="38"/>
        <v>3</v>
      </c>
      <c r="E500" s="506">
        <v>43888</v>
      </c>
      <c r="F500" s="507" t="str">
        <f ca="1">DOC</f>
        <v>029</v>
      </c>
      <c r="G500" s="508" t="s">
        <v>230</v>
      </c>
      <c r="H500" s="509" t="s">
        <v>255</v>
      </c>
      <c r="I500" s="510">
        <v>2</v>
      </c>
      <c r="J500" s="511">
        <v>15530</v>
      </c>
      <c r="K500" s="511">
        <v>9970</v>
      </c>
      <c r="L500" s="512">
        <f ca="1">NET</f>
        <v>5560</v>
      </c>
      <c r="M500" s="222" t="str">
        <f ca="1">DL</f>
        <v>DARAT</v>
      </c>
      <c r="Q500" s="346"/>
    </row>
    <row r="501" spans="2:17" ht="15">
      <c r="B501" s="505" t="str">
        <f ca="1">SUPPAJA</f>
        <v>YANADI</v>
      </c>
      <c r="C501" s="338">
        <f ca="1">IF(COUNTIFS($B$3:B501,DATAKBA[[#This Row],[NAMA SUPP]],$E$3:E501,DATAKBA[[#This Row],[TANGGAL]])&lt;&gt;1,0,1)</f>
        <v>1</v>
      </c>
      <c r="D501" s="222">
        <f t="shared" si="38"/>
        <v>4</v>
      </c>
      <c r="E501" s="506">
        <v>43888</v>
      </c>
      <c r="F501" s="513" t="str">
        <f ca="1">DOC</f>
        <v>031</v>
      </c>
      <c r="G501" s="514" t="s">
        <v>137</v>
      </c>
      <c r="H501" s="515" t="s">
        <v>265</v>
      </c>
      <c r="I501" s="516">
        <v>2</v>
      </c>
      <c r="J501" s="511">
        <v>18060</v>
      </c>
      <c r="K501" s="511">
        <v>6180</v>
      </c>
      <c r="L501" s="512">
        <f ca="1">NET</f>
        <v>11880</v>
      </c>
      <c r="M501" s="222" t="str">
        <f ca="1">DL</f>
        <v>DARAT</v>
      </c>
      <c r="Q501" s="346"/>
    </row>
    <row r="502" spans="2:17" ht="15">
      <c r="B502" s="505" t="str">
        <f ca="1">SUPPAJA</f>
        <v>YANADI</v>
      </c>
      <c r="C502" s="338">
        <f ca="1">IF(COUNTIFS($B$3:B502,DATAKBA[[#This Row],[NAMA SUPP]],$E$3:E502,DATAKBA[[#This Row],[TANGGAL]])&lt;&gt;1,0,1)</f>
        <v>0</v>
      </c>
      <c r="D502" s="222">
        <f t="shared" si="38"/>
        <v>5</v>
      </c>
      <c r="E502" s="506">
        <v>43888</v>
      </c>
      <c r="F502" s="513" t="str">
        <f ca="1">DOC</f>
        <v/>
      </c>
      <c r="G502" s="514" t="s">
        <v>428</v>
      </c>
      <c r="H502" s="515" t="s">
        <v>265</v>
      </c>
      <c r="I502" s="516">
        <v>1</v>
      </c>
      <c r="J502" s="511">
        <v>8930</v>
      </c>
      <c r="K502" s="511">
        <v>3870</v>
      </c>
      <c r="L502" s="512">
        <f ca="1">NET</f>
        <v>5060</v>
      </c>
      <c r="M502" s="222" t="str">
        <f ca="1">DL</f>
        <v>LAUT</v>
      </c>
      <c r="Q502" s="346"/>
    </row>
    <row r="503" spans="2:17" ht="15">
      <c r="B503" s="505" t="str">
        <f ca="1">SUPPAJA</f>
        <v>DINI CHAIRANI</v>
      </c>
      <c r="C503" s="338">
        <f ca="1">IF(COUNTIFS($B$3:B503,DATAKBA[[#This Row],[NAMA SUPP]],$E$3:E503,DATAKBA[[#This Row],[TANGGAL]])&lt;&gt;1,0,1)</f>
        <v>1</v>
      </c>
      <c r="D503" s="222">
        <f t="shared" si="38"/>
        <v>6</v>
      </c>
      <c r="E503" s="506">
        <v>43888</v>
      </c>
      <c r="F503" s="507" t="str">
        <f ca="1">DOC</f>
        <v>032</v>
      </c>
      <c r="G503" s="508" t="s">
        <v>334</v>
      </c>
      <c r="H503" s="509" t="s">
        <v>268</v>
      </c>
      <c r="I503" s="510">
        <v>2</v>
      </c>
      <c r="J503" s="511">
        <v>17520</v>
      </c>
      <c r="K503" s="511">
        <v>7770</v>
      </c>
      <c r="L503" s="512">
        <f ca="1">NET</f>
        <v>9750</v>
      </c>
      <c r="M503" s="222" t="str">
        <f ca="1">DL</f>
        <v>LAUT</v>
      </c>
      <c r="Q503" s="346"/>
    </row>
    <row r="504" spans="2:17" ht="15">
      <c r="B504" s="505" t="str">
        <f ca="1">SUPPAJA</f>
        <v>DINI CHAIRANI</v>
      </c>
      <c r="C504" s="338">
        <f ca="1">IF(COUNTIFS($B$3:B504,DATAKBA[[#This Row],[NAMA SUPP]],$E$3:E504,DATAKBA[[#This Row],[TANGGAL]])&lt;&gt;1,0,1)</f>
        <v>0</v>
      </c>
      <c r="D504" s="222">
        <f t="shared" si="38"/>
        <v>7</v>
      </c>
      <c r="E504" s="506">
        <v>43888</v>
      </c>
      <c r="F504" s="507" t="str">
        <f ca="1">DOC</f>
        <v/>
      </c>
      <c r="G504" s="508" t="s">
        <v>276</v>
      </c>
      <c r="H504" s="509" t="s">
        <v>268</v>
      </c>
      <c r="I504" s="510">
        <v>1</v>
      </c>
      <c r="J504" s="511">
        <v>7730</v>
      </c>
      <c r="K504" s="511">
        <v>3870</v>
      </c>
      <c r="L504" s="512">
        <f ca="1">NET</f>
        <v>3860</v>
      </c>
      <c r="M504" s="222" t="str">
        <f ca="1">DL</f>
        <v>LAUT</v>
      </c>
      <c r="Q504" s="346"/>
    </row>
    <row r="505" spans="2:17" ht="15">
      <c r="B505" s="505" t="str">
        <f ca="1">SUPPAJA</f>
        <v>MARTONO</v>
      </c>
      <c r="C505" s="338">
        <f ca="1">IF(COUNTIFS($B$3:B505,DATAKBA[[#This Row],[NAMA SUPP]],$E$3:E505,DATAKBA[[#This Row],[TANGGAL]])&lt;&gt;1,0,1)</f>
        <v>1</v>
      </c>
      <c r="D505" s="222">
        <f t="shared" si="38"/>
        <v>8</v>
      </c>
      <c r="E505" s="506">
        <v>43888</v>
      </c>
      <c r="F505" s="507" t="str">
        <f ca="1">DOC</f>
        <v>035</v>
      </c>
      <c r="G505" s="508" t="s">
        <v>429</v>
      </c>
      <c r="H505" s="509" t="s">
        <v>257</v>
      </c>
      <c r="I505" s="510">
        <v>1</v>
      </c>
      <c r="J505" s="511">
        <v>7000</v>
      </c>
      <c r="K505" s="511">
        <v>3870</v>
      </c>
      <c r="L505" s="512">
        <f ca="1">NET</f>
        <v>3130</v>
      </c>
      <c r="M505" s="222" t="str">
        <f ca="1">DL</f>
        <v>LAUT</v>
      </c>
      <c r="Q505" s="346"/>
    </row>
    <row r="506" spans="2:17" ht="15">
      <c r="B506" s="505" t="str">
        <f ca="1">SUPPAJA</f>
        <v>MARTONO</v>
      </c>
      <c r="C506" s="338">
        <f ca="1">IF(COUNTIFS($B$3:B506,DATAKBA[[#This Row],[NAMA SUPP]],$E$3:E506,DATAKBA[[#This Row],[TANGGAL]])&lt;&gt;1,0,1)</f>
        <v>0</v>
      </c>
      <c r="D506" s="222">
        <f t="shared" si="38"/>
        <v>9</v>
      </c>
      <c r="E506" s="506">
        <v>43888</v>
      </c>
      <c r="F506" s="507" t="str">
        <f ca="1">DOC</f>
        <v/>
      </c>
      <c r="G506" s="508" t="s">
        <v>392</v>
      </c>
      <c r="H506" s="509" t="s">
        <v>257</v>
      </c>
      <c r="I506" s="510">
        <v>3</v>
      </c>
      <c r="J506" s="511">
        <v>23720</v>
      </c>
      <c r="K506" s="511">
        <v>11730</v>
      </c>
      <c r="L506" s="512">
        <f ca="1">NET</f>
        <v>11990</v>
      </c>
      <c r="M506" s="222" t="str">
        <f ca="1">DL</f>
        <v>LAUT</v>
      </c>
      <c r="Q506" s="346"/>
    </row>
    <row r="507" spans="2:17" ht="15">
      <c r="B507" s="505" t="str">
        <f ca="1">SUPPAJA</f>
        <v>MARTONO</v>
      </c>
      <c r="C507" s="338">
        <f ca="1">IF(COUNTIFS($B$3:B507,DATAKBA[[#This Row],[NAMA SUPP]],$E$3:E507,DATAKBA[[#This Row],[TANGGAL]])&lt;&gt;1,0,1)</f>
        <v>0</v>
      </c>
      <c r="D507" s="222">
        <f t="shared" si="38"/>
        <v>10</v>
      </c>
      <c r="E507" s="506">
        <v>43888</v>
      </c>
      <c r="F507" s="513" t="str">
        <f ca="1">DOC</f>
        <v/>
      </c>
      <c r="G507" s="514" t="s">
        <v>279</v>
      </c>
      <c r="H507" s="515" t="s">
        <v>257</v>
      </c>
      <c r="I507" s="516">
        <v>3</v>
      </c>
      <c r="J507" s="511">
        <v>22340</v>
      </c>
      <c r="K507" s="511">
        <v>11650</v>
      </c>
      <c r="L507" s="512">
        <f ca="1">NET</f>
        <v>10690</v>
      </c>
      <c r="M507" s="222" t="str">
        <f ca="1">DL</f>
        <v>LAUT</v>
      </c>
      <c r="Q507" s="346"/>
    </row>
    <row r="508" spans="2:17" ht="15">
      <c r="B508" s="505" t="str">
        <f ca="1">SUPPAJA</f>
        <v>INDRAYANI</v>
      </c>
      <c r="C508" s="338">
        <f ca="1">IF(COUNTIFS($B$3:B508,DATAKBA[[#This Row],[NAMA SUPP]],$E$3:E508,DATAKBA[[#This Row],[TANGGAL]])&lt;&gt;1,0,1)</f>
        <v>1</v>
      </c>
      <c r="D508" s="222">
        <f t="shared" ref="D508:D514" si="39">COUNTER_RUDI</f>
        <v>1</v>
      </c>
      <c r="E508" s="506">
        <v>43889</v>
      </c>
      <c r="F508" s="507" t="str">
        <f ca="1">DOC</f>
        <v>040</v>
      </c>
      <c r="G508" s="508" t="s">
        <v>99</v>
      </c>
      <c r="H508" s="509" t="s">
        <v>253</v>
      </c>
      <c r="I508" s="510">
        <v>3</v>
      </c>
      <c r="J508" s="511">
        <v>35190</v>
      </c>
      <c r="K508" s="511">
        <v>12410</v>
      </c>
      <c r="L508" s="512">
        <f ca="1">NET</f>
        <v>22780</v>
      </c>
      <c r="M508" s="222" t="str">
        <f ca="1">DL</f>
        <v>DARAT</v>
      </c>
      <c r="Q508" s="346"/>
    </row>
    <row r="509" spans="2:17" ht="15">
      <c r="B509" s="505" t="str">
        <f ca="1">SUPPAJA</f>
        <v>RUSLAN JAYA, SH</v>
      </c>
      <c r="C509" s="338">
        <f ca="1">IF(COUNTIFS($B$3:B509,DATAKBA[[#This Row],[NAMA SUPP]],$E$3:E509,DATAKBA[[#This Row],[TANGGAL]])&lt;&gt;1,0,1)</f>
        <v>1</v>
      </c>
      <c r="D509" s="222">
        <f t="shared" si="39"/>
        <v>2</v>
      </c>
      <c r="E509" s="506">
        <v>43889</v>
      </c>
      <c r="F509" s="507" t="str">
        <f ca="1">DOC</f>
        <v>030</v>
      </c>
      <c r="G509" s="508" t="s">
        <v>230</v>
      </c>
      <c r="H509" s="509" t="s">
        <v>255</v>
      </c>
      <c r="I509" s="510">
        <v>6</v>
      </c>
      <c r="J509" s="511">
        <v>45240</v>
      </c>
      <c r="K509" s="511">
        <v>21790</v>
      </c>
      <c r="L509" s="512">
        <f ca="1">NET</f>
        <v>23450</v>
      </c>
      <c r="M509" s="222" t="str">
        <f ca="1">DL</f>
        <v>DARAT</v>
      </c>
      <c r="Q509" s="346"/>
    </row>
    <row r="510" spans="2:17" ht="15">
      <c r="B510" s="505" t="str">
        <f ca="1">SUPPAJA</f>
        <v>YANADI</v>
      </c>
      <c r="C510" s="338">
        <f ca="1">IF(COUNTIFS($B$3:B510,DATAKBA[[#This Row],[NAMA SUPP]],$E$3:E510,DATAKBA[[#This Row],[TANGGAL]])&lt;&gt;1,0,1)</f>
        <v>1</v>
      </c>
      <c r="D510" s="222">
        <f t="shared" si="39"/>
        <v>3</v>
      </c>
      <c r="E510" s="506">
        <v>43889</v>
      </c>
      <c r="F510" s="513" t="str">
        <f ca="1">DOC</f>
        <v>032</v>
      </c>
      <c r="G510" s="514" t="s">
        <v>137</v>
      </c>
      <c r="H510" s="515" t="s">
        <v>265</v>
      </c>
      <c r="I510" s="516">
        <v>2</v>
      </c>
      <c r="J510" s="511">
        <v>17980</v>
      </c>
      <c r="K510" s="511">
        <v>6020</v>
      </c>
      <c r="L510" s="512">
        <f ca="1">NET</f>
        <v>11960</v>
      </c>
      <c r="M510" s="222" t="str">
        <f ca="1">DL</f>
        <v>DARAT</v>
      </c>
      <c r="Q510" s="346"/>
    </row>
    <row r="511" spans="2:17" ht="15">
      <c r="B511" s="505" t="str">
        <f ca="1">SUPPAJA</f>
        <v>DINI CHAIRANI</v>
      </c>
      <c r="C511" s="338">
        <f ca="1">IF(COUNTIFS($B$3:B511,DATAKBA[[#This Row],[NAMA SUPP]],$E$3:E511,DATAKBA[[#This Row],[TANGGAL]])&lt;&gt;1,0,1)</f>
        <v>1</v>
      </c>
      <c r="D511" s="222">
        <f t="shared" si="39"/>
        <v>4</v>
      </c>
      <c r="E511" s="506">
        <v>43889</v>
      </c>
      <c r="F511" s="507" t="str">
        <f ca="1">DOC</f>
        <v>033</v>
      </c>
      <c r="G511" s="508" t="s">
        <v>269</v>
      </c>
      <c r="H511" s="509" t="s">
        <v>268</v>
      </c>
      <c r="I511" s="510">
        <v>3</v>
      </c>
      <c r="J511" s="511">
        <v>21770</v>
      </c>
      <c r="K511" s="511">
        <v>11620</v>
      </c>
      <c r="L511" s="512">
        <f ca="1">NET</f>
        <v>10150</v>
      </c>
      <c r="M511" s="222" t="str">
        <f ca="1">DL</f>
        <v>LAUT</v>
      </c>
      <c r="Q511" s="346"/>
    </row>
    <row r="512" spans="2:17" ht="15">
      <c r="B512" s="505" t="str">
        <f ca="1">SUPPAJA</f>
        <v>MARTONO</v>
      </c>
      <c r="C512" s="338">
        <f ca="1">IF(COUNTIFS($B$3:B512,DATAKBA[[#This Row],[NAMA SUPP]],$E$3:E512,DATAKBA[[#This Row],[TANGGAL]])&lt;&gt;1,0,1)</f>
        <v>1</v>
      </c>
      <c r="D512" s="222">
        <f t="shared" si="39"/>
        <v>5</v>
      </c>
      <c r="E512" s="506">
        <v>43889</v>
      </c>
      <c r="F512" s="507" t="str">
        <f ca="1">DOC</f>
        <v>036</v>
      </c>
      <c r="G512" s="508" t="s">
        <v>278</v>
      </c>
      <c r="H512" s="509" t="s">
        <v>257</v>
      </c>
      <c r="I512" s="510">
        <v>1</v>
      </c>
      <c r="J512" s="511">
        <v>5590</v>
      </c>
      <c r="K512" s="511">
        <v>3860</v>
      </c>
      <c r="L512" s="512">
        <f ca="1">NET</f>
        <v>1730</v>
      </c>
      <c r="M512" s="222" t="str">
        <f ca="1">DL</f>
        <v>LAUT</v>
      </c>
      <c r="Q512" s="346"/>
    </row>
    <row r="513" spans="2:17" ht="15">
      <c r="B513" s="505" t="str">
        <f ca="1">SUPPAJA</f>
        <v>MARTONO</v>
      </c>
      <c r="C513" s="338">
        <f ca="1">IF(COUNTIFS($B$3:B513,DATAKBA[[#This Row],[NAMA SUPP]],$E$3:E513,DATAKBA[[#This Row],[TANGGAL]])&lt;&gt;1,0,1)</f>
        <v>0</v>
      </c>
      <c r="D513" s="222">
        <f t="shared" si="39"/>
        <v>6</v>
      </c>
      <c r="E513" s="506">
        <v>43889</v>
      </c>
      <c r="F513" s="507" t="str">
        <f ca="1">DOC</f>
        <v/>
      </c>
      <c r="G513" s="508" t="s">
        <v>430</v>
      </c>
      <c r="H513" s="509" t="s">
        <v>257</v>
      </c>
      <c r="I513" s="510">
        <v>1</v>
      </c>
      <c r="J513" s="511">
        <v>5720</v>
      </c>
      <c r="K513" s="511">
        <v>3900</v>
      </c>
      <c r="L513" s="512">
        <f ca="1">NET</f>
        <v>1820</v>
      </c>
      <c r="M513" s="222" t="str">
        <f ca="1">DL</f>
        <v>LAUT</v>
      </c>
      <c r="Q513" s="346"/>
    </row>
    <row r="514" spans="2:17" ht="15">
      <c r="B514" s="505" t="str">
        <f ca="1">SUPPAJA</f>
        <v>MARTONO</v>
      </c>
      <c r="C514" s="338">
        <f ca="1">IF(COUNTIFS($B$3:B514,DATAKBA[[#This Row],[NAMA SUPP]],$E$3:E514,DATAKBA[[#This Row],[TANGGAL]])&lt;&gt;1,0,1)</f>
        <v>0</v>
      </c>
      <c r="D514" s="222">
        <f t="shared" si="39"/>
        <v>7</v>
      </c>
      <c r="E514" s="506">
        <v>43889</v>
      </c>
      <c r="F514" s="513" t="str">
        <f ca="1">DOC</f>
        <v/>
      </c>
      <c r="G514" s="514" t="s">
        <v>431</v>
      </c>
      <c r="H514" s="515" t="s">
        <v>257</v>
      </c>
      <c r="I514" s="516">
        <v>1</v>
      </c>
      <c r="J514" s="511">
        <v>5180</v>
      </c>
      <c r="K514" s="511">
        <v>3890</v>
      </c>
      <c r="L514" s="512">
        <f ca="1">NET</f>
        <v>1290</v>
      </c>
      <c r="M514" s="222" t="str">
        <f ca="1">DL</f>
        <v>LAUT</v>
      </c>
      <c r="Q514" s="346"/>
    </row>
    <row r="515" spans="2:17" ht="15">
      <c r="B515" s="505" t="str">
        <f ca="1">SUPPAJA</f>
        <v>INDRAYANI</v>
      </c>
      <c r="C515" s="338">
        <f ca="1">IF(COUNTIFS($B$3:B515,DATAKBA[[#This Row],[NAMA SUPP]],$E$3:E515,DATAKBA[[#This Row],[TANGGAL]])&lt;&gt;1,0,1)</f>
        <v>1</v>
      </c>
      <c r="D515" s="222">
        <f t="shared" ref="D515:D521" si="40">COUNTER_RUDI</f>
        <v>1</v>
      </c>
      <c r="E515" s="506">
        <v>43890</v>
      </c>
      <c r="F515" s="507" t="str">
        <f ca="1">DOC</f>
        <v>041</v>
      </c>
      <c r="G515" s="508" t="s">
        <v>99</v>
      </c>
      <c r="H515" s="509" t="s">
        <v>253</v>
      </c>
      <c r="I515" s="510">
        <v>1</v>
      </c>
      <c r="J515" s="511">
        <v>10730</v>
      </c>
      <c r="K515" s="511">
        <v>4590</v>
      </c>
      <c r="L515" s="512">
        <f ca="1">NET</f>
        <v>6140</v>
      </c>
      <c r="M515" s="222" t="str">
        <f ca="1">DL</f>
        <v>DARAT</v>
      </c>
      <c r="Q515" s="346"/>
    </row>
    <row r="516" spans="2:17" ht="15">
      <c r="B516" s="505" t="str">
        <f ca="1">SUPPAJA</f>
        <v>RUSLAN JAYA, SH</v>
      </c>
      <c r="C516" s="338">
        <f ca="1">IF(COUNTIFS($B$3:B516,DATAKBA[[#This Row],[NAMA SUPP]],$E$3:E516,DATAKBA[[#This Row],[TANGGAL]])&lt;&gt;1,0,1)</f>
        <v>1</v>
      </c>
      <c r="D516" s="222">
        <f t="shared" si="40"/>
        <v>2</v>
      </c>
      <c r="E516" s="506">
        <v>43890</v>
      </c>
      <c r="F516" s="507" t="str">
        <f ca="1">DOC</f>
        <v>031</v>
      </c>
      <c r="G516" s="508" t="s">
        <v>230</v>
      </c>
      <c r="H516" s="509" t="s">
        <v>255</v>
      </c>
      <c r="I516" s="510">
        <v>4</v>
      </c>
      <c r="J516" s="511">
        <v>37190</v>
      </c>
      <c r="K516" s="511">
        <v>17270</v>
      </c>
      <c r="L516" s="512">
        <f ca="1">NET</f>
        <v>19920</v>
      </c>
      <c r="M516" s="222" t="str">
        <f ca="1">DL</f>
        <v>DARAT</v>
      </c>
      <c r="Q516" s="346"/>
    </row>
    <row r="517" spans="2:17" ht="15">
      <c r="B517" s="505" t="str">
        <f ca="1">SUPPAJA</f>
        <v>YANADI</v>
      </c>
      <c r="C517" s="338">
        <f ca="1">IF(COUNTIFS($B$3:B517,DATAKBA[[#This Row],[NAMA SUPP]],$E$3:E517,DATAKBA[[#This Row],[TANGGAL]])&lt;&gt;1,0,1)</f>
        <v>1</v>
      </c>
      <c r="D517" s="222">
        <f t="shared" si="40"/>
        <v>3</v>
      </c>
      <c r="E517" s="506">
        <v>43890</v>
      </c>
      <c r="F517" s="513" t="str">
        <f ca="1">DOC</f>
        <v>033</v>
      </c>
      <c r="G517" s="514" t="s">
        <v>137</v>
      </c>
      <c r="H517" s="515" t="s">
        <v>265</v>
      </c>
      <c r="I517" s="516">
        <v>2</v>
      </c>
      <c r="J517" s="511">
        <v>26020</v>
      </c>
      <c r="K517" s="511">
        <v>8900</v>
      </c>
      <c r="L517" s="512">
        <f ca="1">NET</f>
        <v>17120</v>
      </c>
      <c r="M517" s="222" t="str">
        <f ca="1">DL</f>
        <v>DARAT</v>
      </c>
      <c r="Q517" s="346"/>
    </row>
    <row r="518" spans="2:17" ht="15">
      <c r="B518" s="505" t="str">
        <f ca="1">SUPPAJA</f>
        <v>DINI CHAIRANI</v>
      </c>
      <c r="C518" s="338">
        <f ca="1">IF(COUNTIFS($B$3:B518,DATAKBA[[#This Row],[NAMA SUPP]],$E$3:E518,DATAKBA[[#This Row],[TANGGAL]])&lt;&gt;1,0,1)</f>
        <v>1</v>
      </c>
      <c r="D518" s="222">
        <f t="shared" si="40"/>
        <v>4</v>
      </c>
      <c r="E518" s="506">
        <v>43890</v>
      </c>
      <c r="F518" s="507" t="str">
        <f ca="1">DOC</f>
        <v>034</v>
      </c>
      <c r="G518" s="508" t="s">
        <v>404</v>
      </c>
      <c r="H518" s="509" t="s">
        <v>268</v>
      </c>
      <c r="I518" s="510">
        <v>1</v>
      </c>
      <c r="J518" s="511">
        <v>7180</v>
      </c>
      <c r="K518" s="511">
        <v>3860</v>
      </c>
      <c r="L518" s="512">
        <f ca="1">NET</f>
        <v>3320</v>
      </c>
      <c r="M518" s="222" t="str">
        <f ca="1">DL</f>
        <v>LAUT</v>
      </c>
      <c r="Q518" s="346"/>
    </row>
    <row r="519" spans="2:17" ht="15">
      <c r="B519" s="505" t="str">
        <f ca="1">SUPPAJA</f>
        <v>DINI CHAIRANI</v>
      </c>
      <c r="C519" s="338">
        <f ca="1">IF(COUNTIFS($B$3:B519,DATAKBA[[#This Row],[NAMA SUPP]],$E$3:E519,DATAKBA[[#This Row],[TANGGAL]])&lt;&gt;1,0,1)</f>
        <v>0</v>
      </c>
      <c r="D519" s="222">
        <f t="shared" si="40"/>
        <v>5</v>
      </c>
      <c r="E519" s="506">
        <v>43890</v>
      </c>
      <c r="F519" s="507" t="str">
        <f ca="1">DOC</f>
        <v/>
      </c>
      <c r="G519" s="508" t="s">
        <v>432</v>
      </c>
      <c r="H519" s="509" t="s">
        <v>268</v>
      </c>
      <c r="I519" s="510">
        <v>1</v>
      </c>
      <c r="J519" s="511">
        <v>6530</v>
      </c>
      <c r="K519" s="511">
        <v>3900</v>
      </c>
      <c r="L519" s="512">
        <f ca="1">NET</f>
        <v>2630</v>
      </c>
      <c r="M519" s="222" t="str">
        <f ca="1">DL</f>
        <v>LAUT</v>
      </c>
      <c r="Q519" s="346"/>
    </row>
    <row r="520" spans="2:17" ht="15">
      <c r="B520" s="505" t="str">
        <f ca="1">SUPPAJA</f>
        <v>HENDRI</v>
      </c>
      <c r="C520" s="338">
        <f ca="1">IF(COUNTIFS($B$3:B520,DATAKBA[[#This Row],[NAMA SUPP]],$E$3:E520,DATAKBA[[#This Row],[TANGGAL]])&lt;&gt;1,0,1)</f>
        <v>1</v>
      </c>
      <c r="D520" s="222">
        <f t="shared" si="40"/>
        <v>6</v>
      </c>
      <c r="E520" s="506">
        <v>43890</v>
      </c>
      <c r="F520" s="507" t="str">
        <f ca="1">DOC</f>
        <v>024</v>
      </c>
      <c r="G520" s="508" t="s">
        <v>335</v>
      </c>
      <c r="H520" s="509" t="s">
        <v>255</v>
      </c>
      <c r="I520" s="510">
        <v>2</v>
      </c>
      <c r="J520" s="511">
        <v>12870</v>
      </c>
      <c r="K520" s="511">
        <v>7770</v>
      </c>
      <c r="L520" s="512">
        <f ca="1">NET</f>
        <v>5100</v>
      </c>
      <c r="M520" s="222" t="str">
        <f ca="1">DL</f>
        <v>LAUT</v>
      </c>
      <c r="Q520" s="346"/>
    </row>
    <row r="521" spans="2:17" ht="15">
      <c r="B521" s="505" t="str">
        <f ca="1">SUPPAJA</f>
        <v>MARTONO</v>
      </c>
      <c r="C521" s="338">
        <f ca="1">IF(COUNTIFS($B$3:B521,DATAKBA[[#This Row],[NAMA SUPP]],$E$3:E521,DATAKBA[[#This Row],[TANGGAL]])&lt;&gt;1,0,1)</f>
        <v>1</v>
      </c>
      <c r="D521" s="222">
        <f t="shared" si="40"/>
        <v>7</v>
      </c>
      <c r="E521" s="506">
        <v>43890</v>
      </c>
      <c r="F521" s="513" t="str">
        <f ca="1">DOC</f>
        <v>037</v>
      </c>
      <c r="G521" s="514" t="s">
        <v>347</v>
      </c>
      <c r="H521" s="515" t="s">
        <v>257</v>
      </c>
      <c r="I521" s="516">
        <v>2</v>
      </c>
      <c r="J521" s="511">
        <v>17990</v>
      </c>
      <c r="K521" s="511">
        <v>7770</v>
      </c>
      <c r="L521" s="512">
        <f ca="1">NET</f>
        <v>10220</v>
      </c>
      <c r="M521" s="222" t="str">
        <f ca="1">DL</f>
        <v>LAUT</v>
      </c>
      <c r="Q521" s="346"/>
    </row>
    <row r="522" spans="2:17" ht="15">
      <c r="B522" s="505" t="str">
        <f ca="1">SUPPAJA</f>
        <v>ERAWATI</v>
      </c>
      <c r="C522" s="338">
        <f ca="1">IF(COUNTIFS($B$3:B522,DATAKBA[[#This Row],[NAMA SUPP]],$E$3:E522,DATAKBA[[#This Row],[TANGGAL]])&lt;&gt;1,0,1)</f>
        <v>1</v>
      </c>
      <c r="D522" s="222">
        <f t="shared" ref="D522:D531" si="41">COUNTER_RUDI</f>
        <v>1</v>
      </c>
      <c r="E522" s="506">
        <v>43892</v>
      </c>
      <c r="F522" s="507" t="str">
        <f ca="1">DOC</f>
        <v>044</v>
      </c>
      <c r="G522" s="508" t="s">
        <v>220</v>
      </c>
      <c r="H522" s="509" t="s">
        <v>253</v>
      </c>
      <c r="I522" s="510">
        <v>5</v>
      </c>
      <c r="J522" s="511">
        <v>40800</v>
      </c>
      <c r="K522" s="511">
        <v>16640</v>
      </c>
      <c r="L522" s="512">
        <f ca="1">NET</f>
        <v>24160</v>
      </c>
      <c r="M522" s="222" t="str">
        <f ca="1">DL</f>
        <v>DARAT</v>
      </c>
      <c r="Q522" s="346"/>
    </row>
    <row r="523" spans="2:17" ht="15">
      <c r="B523" s="505" t="str">
        <f ca="1">SUPPAJA</f>
        <v>INDRAYANI</v>
      </c>
      <c r="C523" s="338">
        <f ca="1">IF(COUNTIFS($B$3:B523,DATAKBA[[#This Row],[NAMA SUPP]],$E$3:E523,DATAKBA[[#This Row],[TANGGAL]])&lt;&gt;1,0,1)</f>
        <v>1</v>
      </c>
      <c r="D523" s="222">
        <f t="shared" si="41"/>
        <v>2</v>
      </c>
      <c r="E523" s="506">
        <v>43892</v>
      </c>
      <c r="F523" s="507" t="str">
        <f ca="1">DOC</f>
        <v>042</v>
      </c>
      <c r="G523" s="508" t="s">
        <v>99</v>
      </c>
      <c r="H523" s="509" t="s">
        <v>253</v>
      </c>
      <c r="I523" s="510">
        <v>3</v>
      </c>
      <c r="J523" s="511">
        <v>30880</v>
      </c>
      <c r="K523" s="511">
        <v>12290</v>
      </c>
      <c r="L523" s="512">
        <f ca="1">NET</f>
        <v>18590</v>
      </c>
      <c r="M523" s="222" t="str">
        <f ca="1">DL</f>
        <v>DARAT</v>
      </c>
      <c r="Q523" s="346"/>
    </row>
    <row r="524" spans="2:17" ht="15">
      <c r="B524" s="505" t="str">
        <f ca="1">SUPPAJA</f>
        <v>RUSLAN JAYA, SH</v>
      </c>
      <c r="C524" s="338">
        <f ca="1">IF(COUNTIFS($B$3:B524,DATAKBA[[#This Row],[NAMA SUPP]],$E$3:E524,DATAKBA[[#This Row],[TANGGAL]])&lt;&gt;1,0,1)</f>
        <v>1</v>
      </c>
      <c r="D524" s="222">
        <f t="shared" si="41"/>
        <v>3</v>
      </c>
      <c r="E524" s="506">
        <v>43892</v>
      </c>
      <c r="F524" s="507" t="str">
        <f ca="1">DOC</f>
        <v>032</v>
      </c>
      <c r="G524" s="508" t="s">
        <v>230</v>
      </c>
      <c r="H524" s="509" t="s">
        <v>255</v>
      </c>
      <c r="I524" s="510">
        <v>6</v>
      </c>
      <c r="J524" s="511">
        <v>52610</v>
      </c>
      <c r="K524" s="511">
        <v>20390</v>
      </c>
      <c r="L524" s="512">
        <f ca="1">NET</f>
        <v>32220</v>
      </c>
      <c r="M524" s="222" t="str">
        <f ca="1">DL</f>
        <v>DARAT</v>
      </c>
      <c r="Q524" s="346"/>
    </row>
    <row r="525" spans="2:17" ht="15">
      <c r="B525" s="505" t="str">
        <f ca="1">SUPPAJA</f>
        <v>SAIRI</v>
      </c>
      <c r="C525" s="338">
        <f ca="1">IF(COUNTIFS($B$3:B525,DATAKBA[[#This Row],[NAMA SUPP]],$E$3:E525,DATAKBA[[#This Row],[TANGGAL]])&lt;&gt;1,0,1)</f>
        <v>1</v>
      </c>
      <c r="D525" s="222">
        <f t="shared" si="41"/>
        <v>4</v>
      </c>
      <c r="E525" s="506">
        <v>43892</v>
      </c>
      <c r="F525" s="507" t="str">
        <f ca="1">DOC</f>
        <v>027</v>
      </c>
      <c r="G525" s="508" t="s">
        <v>78</v>
      </c>
      <c r="H525" s="509" t="s">
        <v>267</v>
      </c>
      <c r="I525" s="510">
        <v>1</v>
      </c>
      <c r="J525" s="511">
        <v>3990</v>
      </c>
      <c r="K525" s="511">
        <v>1580</v>
      </c>
      <c r="L525" s="512">
        <f ca="1">NET</f>
        <v>2410</v>
      </c>
      <c r="M525" s="222" t="str">
        <f ca="1">DL</f>
        <v>DARAT</v>
      </c>
      <c r="Q525" s="346"/>
    </row>
    <row r="526" spans="2:17" ht="15">
      <c r="B526" s="505" t="str">
        <f ca="1">SUPPAJA</f>
        <v>YANADI</v>
      </c>
      <c r="C526" s="338">
        <f ca="1">IF(COUNTIFS($B$3:B526,DATAKBA[[#This Row],[NAMA SUPP]],$E$3:E526,DATAKBA[[#This Row],[TANGGAL]])&lt;&gt;1,0,1)</f>
        <v>1</v>
      </c>
      <c r="D526" s="222">
        <f t="shared" si="41"/>
        <v>5</v>
      </c>
      <c r="E526" s="506">
        <v>43892</v>
      </c>
      <c r="F526" s="507" t="str">
        <f ca="1">DOC</f>
        <v>034</v>
      </c>
      <c r="G526" s="508" t="s">
        <v>137</v>
      </c>
      <c r="H526" s="509" t="s">
        <v>265</v>
      </c>
      <c r="I526" s="510">
        <v>2</v>
      </c>
      <c r="J526" s="511">
        <v>17700</v>
      </c>
      <c r="K526" s="511">
        <v>5960</v>
      </c>
      <c r="L526" s="512">
        <f ca="1">NET</f>
        <v>11740</v>
      </c>
      <c r="M526" s="222" t="str">
        <f ca="1">DL</f>
        <v>DARAT</v>
      </c>
      <c r="Q526" s="346"/>
    </row>
    <row r="527" spans="2:17" ht="15">
      <c r="B527" s="505" t="str">
        <f ca="1">SUPPAJA</f>
        <v>DINI CHAIRANI</v>
      </c>
      <c r="C527" s="338">
        <f ca="1">IF(COUNTIFS($B$3:B527,DATAKBA[[#This Row],[NAMA SUPP]],$E$3:E527,DATAKBA[[#This Row],[TANGGAL]])&lt;&gt;1,0,1)</f>
        <v>1</v>
      </c>
      <c r="D527" s="222">
        <f t="shared" si="41"/>
        <v>6</v>
      </c>
      <c r="E527" s="506">
        <v>43892</v>
      </c>
      <c r="F527" s="507" t="str">
        <f ca="1">DOC</f>
        <v>035</v>
      </c>
      <c r="G527" s="508" t="s">
        <v>228</v>
      </c>
      <c r="H527" s="509" t="s">
        <v>268</v>
      </c>
      <c r="I527" s="510">
        <v>1</v>
      </c>
      <c r="J527" s="511">
        <v>8430</v>
      </c>
      <c r="K527" s="511">
        <v>3870</v>
      </c>
      <c r="L527" s="512">
        <f ca="1">NET</f>
        <v>4560</v>
      </c>
      <c r="M527" s="222" t="str">
        <f ca="1">DL</f>
        <v>LAUT</v>
      </c>
      <c r="Q527" s="346"/>
    </row>
    <row r="528" spans="2:17" ht="15">
      <c r="B528" s="505" t="str">
        <f ca="1">SUPPAJA</f>
        <v>MARTONO</v>
      </c>
      <c r="C528" s="338">
        <f ca="1">IF(COUNTIFS($B$3:B528,DATAKBA[[#This Row],[NAMA SUPP]],$E$3:E528,DATAKBA[[#This Row],[TANGGAL]])&lt;&gt;1,0,1)</f>
        <v>1</v>
      </c>
      <c r="D528" s="222">
        <f t="shared" si="41"/>
        <v>7</v>
      </c>
      <c r="E528" s="506">
        <v>43892</v>
      </c>
      <c r="F528" s="507" t="str">
        <f ca="1">DOC</f>
        <v>038</v>
      </c>
      <c r="G528" s="508" t="s">
        <v>256</v>
      </c>
      <c r="H528" s="509" t="s">
        <v>257</v>
      </c>
      <c r="I528" s="510">
        <v>1</v>
      </c>
      <c r="J528" s="511">
        <v>7790</v>
      </c>
      <c r="K528" s="511">
        <v>3790</v>
      </c>
      <c r="L528" s="512">
        <f ca="1">NET</f>
        <v>4000</v>
      </c>
      <c r="M528" s="222" t="str">
        <f ca="1">DL</f>
        <v>LAUT</v>
      </c>
      <c r="Q528" s="346"/>
    </row>
    <row r="529" spans="2:17" ht="15">
      <c r="B529" s="505" t="str">
        <f ca="1">SUPPAJA</f>
        <v>MARTONO</v>
      </c>
      <c r="C529" s="338">
        <f ca="1">IF(COUNTIFS($B$3:B529,DATAKBA[[#This Row],[NAMA SUPP]],$E$3:E529,DATAKBA[[#This Row],[TANGGAL]])&lt;&gt;1,0,1)</f>
        <v>0</v>
      </c>
      <c r="D529" s="222">
        <f t="shared" si="41"/>
        <v>8</v>
      </c>
      <c r="E529" s="506">
        <v>43892</v>
      </c>
      <c r="F529" s="507" t="str">
        <f ca="1">DOC</f>
        <v/>
      </c>
      <c r="G529" s="508" t="s">
        <v>278</v>
      </c>
      <c r="H529" s="509" t="s">
        <v>257</v>
      </c>
      <c r="I529" s="510">
        <v>1</v>
      </c>
      <c r="J529" s="511">
        <v>7140</v>
      </c>
      <c r="K529" s="511">
        <v>4010</v>
      </c>
      <c r="L529" s="512">
        <f ca="1">NET</f>
        <v>3130</v>
      </c>
      <c r="M529" s="222" t="str">
        <f ca="1">DL</f>
        <v>LAUT</v>
      </c>
      <c r="Q529" s="346"/>
    </row>
    <row r="530" spans="2:17" ht="15">
      <c r="B530" s="505" t="str">
        <f ca="1">SUPPAJA</f>
        <v>MARTONO</v>
      </c>
      <c r="C530" s="338">
        <f ca="1">IF(COUNTIFS($B$3:B530,DATAKBA[[#This Row],[NAMA SUPP]],$E$3:E530,DATAKBA[[#This Row],[TANGGAL]])&lt;&gt;1,0,1)</f>
        <v>0</v>
      </c>
      <c r="D530" s="222">
        <f t="shared" si="41"/>
        <v>9</v>
      </c>
      <c r="E530" s="506">
        <v>43892</v>
      </c>
      <c r="F530" s="507" t="str">
        <f ca="1">DOC</f>
        <v/>
      </c>
      <c r="G530" s="508" t="s">
        <v>433</v>
      </c>
      <c r="H530" s="509" t="s">
        <v>257</v>
      </c>
      <c r="I530" s="510">
        <v>1</v>
      </c>
      <c r="J530" s="511">
        <v>5570</v>
      </c>
      <c r="K530" s="511">
        <v>3890</v>
      </c>
      <c r="L530" s="512">
        <f ca="1">NET</f>
        <v>1680</v>
      </c>
      <c r="M530" s="222" t="str">
        <f ca="1">DL</f>
        <v>LAUT</v>
      </c>
      <c r="Q530" s="346"/>
    </row>
    <row r="531" spans="2:17" ht="15">
      <c r="B531" s="505" t="str">
        <f ca="1">SUPPAJA</f>
        <v>MARTONO</v>
      </c>
      <c r="C531" s="338">
        <f ca="1">IF(COUNTIFS($B$3:B531,DATAKBA[[#This Row],[NAMA SUPP]],$E$3:E531,DATAKBA[[#This Row],[TANGGAL]])&lt;&gt;1,0,1)</f>
        <v>0</v>
      </c>
      <c r="D531" s="222">
        <f t="shared" si="41"/>
        <v>10</v>
      </c>
      <c r="E531" s="506">
        <v>43892</v>
      </c>
      <c r="F531" s="507" t="str">
        <f ca="1">DOC</f>
        <v/>
      </c>
      <c r="G531" s="514" t="s">
        <v>430</v>
      </c>
      <c r="H531" s="515" t="s">
        <v>257</v>
      </c>
      <c r="I531" s="516">
        <v>1</v>
      </c>
      <c r="J531" s="511">
        <v>6860</v>
      </c>
      <c r="K531" s="511">
        <v>3790</v>
      </c>
      <c r="L531" s="512">
        <f ca="1">NET</f>
        <v>3070</v>
      </c>
      <c r="M531" s="222" t="str">
        <f ca="1">DL</f>
        <v>LAUT</v>
      </c>
      <c r="Q531" s="346"/>
    </row>
    <row r="532" spans="2:17" ht="15">
      <c r="B532" s="517" t="str">
        <f ca="1">SUPPAJA</f>
        <v>ERAWATI</v>
      </c>
      <c r="C532" s="338">
        <f ca="1">IF(COUNTIFS($B$3:B532,DATAKBA[[#This Row],[NAMA SUPP]],$E$3:E532,DATAKBA[[#This Row],[TANGGAL]])&lt;&gt;1,0,1)</f>
        <v>1</v>
      </c>
      <c r="D532" s="222">
        <f t="shared" ref="D532:D537" si="42">COUNTER_RUDI</f>
        <v>1</v>
      </c>
      <c r="E532" s="506">
        <v>43893</v>
      </c>
      <c r="F532" s="518" t="str">
        <f ca="1">DOC</f>
        <v>045</v>
      </c>
      <c r="G532" s="519" t="s">
        <v>220</v>
      </c>
      <c r="H532" s="520" t="s">
        <v>253</v>
      </c>
      <c r="I532" s="521">
        <v>4</v>
      </c>
      <c r="J532" s="522">
        <v>44900</v>
      </c>
      <c r="K532" s="522">
        <v>18210</v>
      </c>
      <c r="L532" s="523">
        <f ca="1">NET</f>
        <v>26690</v>
      </c>
      <c r="M532" s="222" t="str">
        <f ca="1">DL</f>
        <v>DARAT</v>
      </c>
      <c r="Q532" s="346"/>
    </row>
    <row r="533" spans="2:17" ht="15">
      <c r="B533" s="517" t="str">
        <f ca="1">SUPPAJA</f>
        <v>RUSLAN JAYA, SH</v>
      </c>
      <c r="C533" s="338">
        <f ca="1">IF(COUNTIFS($B$3:B533,DATAKBA[[#This Row],[NAMA SUPP]],$E$3:E533,DATAKBA[[#This Row],[TANGGAL]])&lt;&gt;1,0,1)</f>
        <v>1</v>
      </c>
      <c r="D533" s="222">
        <f t="shared" si="42"/>
        <v>2</v>
      </c>
      <c r="E533" s="506">
        <v>43893</v>
      </c>
      <c r="F533" s="518" t="str">
        <f ca="1">DOC</f>
        <v>033</v>
      </c>
      <c r="G533" s="519" t="s">
        <v>230</v>
      </c>
      <c r="H533" s="520" t="s">
        <v>255</v>
      </c>
      <c r="I533" s="521">
        <v>3</v>
      </c>
      <c r="J533" s="522">
        <v>26560</v>
      </c>
      <c r="K533" s="522">
        <v>10260</v>
      </c>
      <c r="L533" s="523">
        <f ca="1">NET</f>
        <v>16300</v>
      </c>
      <c r="M533" s="222" t="str">
        <f ca="1">DL</f>
        <v>DARAT</v>
      </c>
      <c r="Q533" s="346"/>
    </row>
    <row r="534" spans="2:17" ht="15">
      <c r="B534" s="517" t="str">
        <f ca="1">SUPPAJA</f>
        <v>SAIRI</v>
      </c>
      <c r="C534" s="338">
        <f ca="1">IF(COUNTIFS($B$3:B534,DATAKBA[[#This Row],[NAMA SUPP]],$E$3:E534,DATAKBA[[#This Row],[TANGGAL]])&lt;&gt;1,0,1)</f>
        <v>1</v>
      </c>
      <c r="D534" s="222">
        <f t="shared" si="42"/>
        <v>3</v>
      </c>
      <c r="E534" s="506">
        <v>43893</v>
      </c>
      <c r="F534" s="518" t="str">
        <f ca="1">DOC</f>
        <v>028</v>
      </c>
      <c r="G534" s="519" t="s">
        <v>78</v>
      </c>
      <c r="H534" s="520" t="s">
        <v>267</v>
      </c>
      <c r="I534" s="521">
        <v>1</v>
      </c>
      <c r="J534" s="522">
        <v>3590</v>
      </c>
      <c r="K534" s="522">
        <v>1480</v>
      </c>
      <c r="L534" s="523">
        <f ca="1">NET</f>
        <v>2110</v>
      </c>
      <c r="M534" s="222" t="str">
        <f ca="1">DL</f>
        <v>DARAT</v>
      </c>
      <c r="Q534" s="346"/>
    </row>
    <row r="535" spans="2:17" ht="15">
      <c r="B535" s="517" t="str">
        <f ca="1">SUPPAJA</f>
        <v>YANADI</v>
      </c>
      <c r="C535" s="338">
        <f ca="1">IF(COUNTIFS($B$3:B535,DATAKBA[[#This Row],[NAMA SUPP]],$E$3:E535,DATAKBA[[#This Row],[TANGGAL]])&lt;&gt;1,0,1)</f>
        <v>1</v>
      </c>
      <c r="D535" s="222">
        <f t="shared" si="42"/>
        <v>4</v>
      </c>
      <c r="E535" s="506">
        <v>43893</v>
      </c>
      <c r="F535" s="524" t="str">
        <f ca="1">DOC</f>
        <v>035</v>
      </c>
      <c r="G535" s="525" t="s">
        <v>137</v>
      </c>
      <c r="H535" s="526" t="s">
        <v>265</v>
      </c>
      <c r="I535" s="527">
        <v>1</v>
      </c>
      <c r="J535" s="522">
        <v>12930</v>
      </c>
      <c r="K535" s="522">
        <v>4300</v>
      </c>
      <c r="L535" s="523">
        <f ca="1">NET</f>
        <v>8630</v>
      </c>
      <c r="M535" s="222" t="str">
        <f ca="1">DL</f>
        <v>DARAT</v>
      </c>
      <c r="Q535" s="346"/>
    </row>
    <row r="536" spans="2:17" ht="15">
      <c r="B536" s="517" t="str">
        <f ca="1">SUPPAJA</f>
        <v>HENDRI</v>
      </c>
      <c r="C536" s="338">
        <f ca="1">IF(COUNTIFS($B$3:B536,DATAKBA[[#This Row],[NAMA SUPP]],$E$3:E536,DATAKBA[[#This Row],[TANGGAL]])&lt;&gt;1,0,1)</f>
        <v>1</v>
      </c>
      <c r="D536" s="222">
        <f t="shared" si="42"/>
        <v>5</v>
      </c>
      <c r="E536" s="506">
        <v>43893</v>
      </c>
      <c r="F536" s="518" t="str">
        <f ca="1">DOC</f>
        <v>025</v>
      </c>
      <c r="G536" s="519" t="s">
        <v>254</v>
      </c>
      <c r="H536" s="520" t="s">
        <v>255</v>
      </c>
      <c r="I536" s="521">
        <v>2</v>
      </c>
      <c r="J536" s="522">
        <v>16070</v>
      </c>
      <c r="K536" s="522">
        <v>7860</v>
      </c>
      <c r="L536" s="523">
        <f ca="1">NET</f>
        <v>8210</v>
      </c>
      <c r="M536" s="222" t="str">
        <f ca="1">DL</f>
        <v>LAUT</v>
      </c>
      <c r="Q536" s="346"/>
    </row>
    <row r="537" spans="2:17" ht="15">
      <c r="B537" s="517" t="str">
        <f ca="1">SUPPAJA</f>
        <v>DINI CHAIRANI</v>
      </c>
      <c r="C537" s="338">
        <f ca="1">IF(COUNTIFS($B$3:B537,DATAKBA[[#This Row],[NAMA SUPP]],$E$3:E537,DATAKBA[[#This Row],[TANGGAL]])&lt;&gt;1,0,1)</f>
        <v>1</v>
      </c>
      <c r="D537" s="222">
        <f t="shared" si="42"/>
        <v>6</v>
      </c>
      <c r="E537" s="506">
        <v>43893</v>
      </c>
      <c r="F537" s="524" t="str">
        <f ca="1">DOC</f>
        <v>036</v>
      </c>
      <c r="G537" s="525" t="s">
        <v>404</v>
      </c>
      <c r="H537" s="526" t="s">
        <v>268</v>
      </c>
      <c r="I537" s="527">
        <v>1</v>
      </c>
      <c r="J537" s="522">
        <v>6310</v>
      </c>
      <c r="K537" s="522">
        <v>3820</v>
      </c>
      <c r="L537" s="523">
        <f ca="1">NET</f>
        <v>2490</v>
      </c>
      <c r="M537" s="222" t="str">
        <f ca="1">DL</f>
        <v>LAUT</v>
      </c>
      <c r="Q537" s="346"/>
    </row>
    <row r="538" spans="2:17" ht="15">
      <c r="B538" s="517" t="str">
        <f ca="1">SUPPAJA</f>
        <v>ERAWATI</v>
      </c>
      <c r="C538" s="338">
        <f ca="1">IF(COUNTIFS($B$3:B538,DATAKBA[[#This Row],[NAMA SUPP]],$E$3:E538,DATAKBA[[#This Row],[TANGGAL]])&lt;&gt;1,0,1)</f>
        <v>1</v>
      </c>
      <c r="D538" s="222">
        <f t="shared" ref="D538:D543" si="43">COUNTER_RUDI</f>
        <v>1</v>
      </c>
      <c r="E538" s="506">
        <v>43894</v>
      </c>
      <c r="F538" s="518" t="str">
        <f ca="1">DOC</f>
        <v>046</v>
      </c>
      <c r="G538" s="519" t="s">
        <v>220</v>
      </c>
      <c r="H538" s="520" t="s">
        <v>253</v>
      </c>
      <c r="I538" s="521">
        <v>2</v>
      </c>
      <c r="J538" s="522">
        <v>24860</v>
      </c>
      <c r="K538" s="522">
        <v>9090</v>
      </c>
      <c r="L538" s="523">
        <v>15770</v>
      </c>
      <c r="M538" s="222" t="str">
        <f ca="1">DL</f>
        <v>DARAT</v>
      </c>
      <c r="Q538" s="346"/>
    </row>
    <row r="539" spans="2:17" ht="15">
      <c r="B539" s="517" t="str">
        <f ca="1">SUPPAJA</f>
        <v>INDRAYANI</v>
      </c>
      <c r="C539" s="338">
        <f ca="1">IF(COUNTIFS($B$3:B539,DATAKBA[[#This Row],[NAMA SUPP]],$E$3:E539,DATAKBA[[#This Row],[TANGGAL]])&lt;&gt;1,0,1)</f>
        <v>1</v>
      </c>
      <c r="D539" s="222">
        <f t="shared" si="43"/>
        <v>2</v>
      </c>
      <c r="E539" s="506">
        <v>43894</v>
      </c>
      <c r="F539" s="518" t="str">
        <f ca="1">DOC</f>
        <v>043</v>
      </c>
      <c r="G539" s="519" t="s">
        <v>99</v>
      </c>
      <c r="H539" s="520" t="s">
        <v>253</v>
      </c>
      <c r="I539" s="521">
        <v>1</v>
      </c>
      <c r="J539" s="522">
        <v>4180</v>
      </c>
      <c r="K539" s="522">
        <v>1600</v>
      </c>
      <c r="L539" s="523">
        <v>2580</v>
      </c>
      <c r="M539" s="222" t="str">
        <f ca="1">DL</f>
        <v>DARAT</v>
      </c>
      <c r="Q539" s="346"/>
    </row>
    <row r="540" spans="2:17" ht="15">
      <c r="B540" s="517" t="str">
        <f ca="1">SUPPAJA</f>
        <v>RUSLAN JAYA, SH</v>
      </c>
      <c r="C540" s="338">
        <f ca="1">IF(COUNTIFS($B$3:B540,DATAKBA[[#This Row],[NAMA SUPP]],$E$3:E540,DATAKBA[[#This Row],[TANGGAL]])&lt;&gt;1,0,1)</f>
        <v>1</v>
      </c>
      <c r="D540" s="222">
        <f t="shared" si="43"/>
        <v>3</v>
      </c>
      <c r="E540" s="506">
        <v>43894</v>
      </c>
      <c r="F540" s="518" t="str">
        <f ca="1">DOC</f>
        <v>034</v>
      </c>
      <c r="G540" s="519" t="s">
        <v>230</v>
      </c>
      <c r="H540" s="520" t="s">
        <v>255</v>
      </c>
      <c r="I540" s="521">
        <v>5</v>
      </c>
      <c r="J540" s="522">
        <v>43700</v>
      </c>
      <c r="K540" s="522">
        <v>18850</v>
      </c>
      <c r="L540" s="523">
        <v>24850</v>
      </c>
      <c r="M540" s="222" t="str">
        <f ca="1">DL</f>
        <v>DARAT</v>
      </c>
      <c r="Q540" s="346"/>
    </row>
    <row r="541" spans="2:17" ht="15">
      <c r="B541" s="517" t="str">
        <f ca="1">SUPPAJA</f>
        <v>YANADI</v>
      </c>
      <c r="C541" s="338">
        <f ca="1">IF(COUNTIFS($B$3:B541,DATAKBA[[#This Row],[NAMA SUPP]],$E$3:E541,DATAKBA[[#This Row],[TANGGAL]])&lt;&gt;1,0,1)</f>
        <v>1</v>
      </c>
      <c r="D541" s="222">
        <f t="shared" si="43"/>
        <v>4</v>
      </c>
      <c r="E541" s="506">
        <v>43894</v>
      </c>
      <c r="F541" s="524" t="str">
        <f ca="1">DOC</f>
        <v>036</v>
      </c>
      <c r="G541" s="525" t="s">
        <v>137</v>
      </c>
      <c r="H541" s="526" t="s">
        <v>265</v>
      </c>
      <c r="I541" s="527">
        <v>3</v>
      </c>
      <c r="J541" s="522">
        <v>12500</v>
      </c>
      <c r="K541" s="522">
        <v>4440</v>
      </c>
      <c r="L541" s="523">
        <v>8060</v>
      </c>
      <c r="M541" s="222" t="str">
        <f ca="1">DL</f>
        <v>DARAT</v>
      </c>
      <c r="Q541" s="346"/>
    </row>
    <row r="542" spans="2:17" ht="15">
      <c r="B542" s="517" t="str">
        <f ca="1">SUPPAJA</f>
        <v>DINI CHAIRANI</v>
      </c>
      <c r="C542" s="338">
        <f ca="1">IF(COUNTIFS($B$3:B542,DATAKBA[[#This Row],[NAMA SUPP]],$E$3:E542,DATAKBA[[#This Row],[TANGGAL]])&lt;&gt;1,0,1)</f>
        <v>1</v>
      </c>
      <c r="D542" s="222">
        <f t="shared" si="43"/>
        <v>5</v>
      </c>
      <c r="E542" s="506">
        <v>43894</v>
      </c>
      <c r="F542" s="518" t="str">
        <f ca="1">DOC</f>
        <v>037</v>
      </c>
      <c r="G542" s="519" t="s">
        <v>269</v>
      </c>
      <c r="H542" s="520" t="s">
        <v>268</v>
      </c>
      <c r="I542" s="521">
        <v>3</v>
      </c>
      <c r="J542" s="522">
        <v>21710</v>
      </c>
      <c r="K542" s="522">
        <v>11570</v>
      </c>
      <c r="L542" s="523">
        <f ca="1">NET</f>
        <v>10140</v>
      </c>
      <c r="M542" s="222" t="str">
        <f ca="1">DL</f>
        <v>LAUT</v>
      </c>
      <c r="Q542" s="346"/>
    </row>
    <row r="543" spans="2:17" ht="15">
      <c r="B543" s="517" t="str">
        <f ca="1">SUPPAJA</f>
        <v>SUKAMTO</v>
      </c>
      <c r="C543" s="338">
        <f ca="1">IF(COUNTIFS($B$3:B543,DATAKBA[[#This Row],[NAMA SUPP]],$E$3:E543,DATAKBA[[#This Row],[TANGGAL]])&lt;&gt;1,0,1)</f>
        <v>1</v>
      </c>
      <c r="D543" s="222">
        <f t="shared" si="43"/>
        <v>6</v>
      </c>
      <c r="E543" s="506">
        <v>43894</v>
      </c>
      <c r="F543" s="524" t="str">
        <f ca="1">DOC</f>
        <v>014</v>
      </c>
      <c r="G543" s="525" t="s">
        <v>395</v>
      </c>
      <c r="H543" s="526" t="s">
        <v>275</v>
      </c>
      <c r="I543" s="527">
        <v>1</v>
      </c>
      <c r="J543" s="522">
        <v>7830</v>
      </c>
      <c r="K543" s="522">
        <v>3890</v>
      </c>
      <c r="L543" s="523">
        <f ca="1">NET</f>
        <v>3940</v>
      </c>
      <c r="M543" s="222" t="str">
        <f ca="1">DL</f>
        <v>LAUT</v>
      </c>
      <c r="Q543" s="346"/>
    </row>
    <row r="544" spans="2:17" ht="15">
      <c r="B544" s="517" t="str">
        <f ca="1">SUPPAJA</f>
        <v>ERAWATI</v>
      </c>
      <c r="C544" s="338">
        <f ca="1">IF(COUNTIFS($B$3:B544,DATAKBA[[#This Row],[NAMA SUPP]],$E$3:E544,DATAKBA[[#This Row],[TANGGAL]])&lt;&gt;1,0,1)</f>
        <v>1</v>
      </c>
      <c r="D544" s="222">
        <f t="shared" ref="D544:D551" si="44">COUNTER_RUDI</f>
        <v>1</v>
      </c>
      <c r="E544" s="506">
        <v>43895</v>
      </c>
      <c r="F544" s="518" t="str">
        <f ca="1">DOC</f>
        <v>047</v>
      </c>
      <c r="G544" s="519" t="s">
        <v>220</v>
      </c>
      <c r="H544" s="520" t="s">
        <v>253</v>
      </c>
      <c r="I544" s="521">
        <v>2</v>
      </c>
      <c r="J544" s="522">
        <v>14210</v>
      </c>
      <c r="K544" s="522">
        <v>5730</v>
      </c>
      <c r="L544" s="523">
        <f ca="1">NET</f>
        <v>8480</v>
      </c>
      <c r="M544" s="222" t="str">
        <f ca="1">DL</f>
        <v>DARAT</v>
      </c>
      <c r="Q544" s="346"/>
    </row>
    <row r="545" spans="2:17" ht="15">
      <c r="B545" s="517" t="str">
        <f ca="1">SUPPAJA</f>
        <v>INDRAYANI</v>
      </c>
      <c r="C545" s="338">
        <f ca="1">IF(COUNTIFS($B$3:B545,DATAKBA[[#This Row],[NAMA SUPP]],$E$3:E545,DATAKBA[[#This Row],[TANGGAL]])&lt;&gt;1,0,1)</f>
        <v>1</v>
      </c>
      <c r="D545" s="222">
        <f t="shared" si="44"/>
        <v>2</v>
      </c>
      <c r="E545" s="506">
        <v>43895</v>
      </c>
      <c r="F545" s="518" t="str">
        <f ca="1">DOC</f>
        <v>044</v>
      </c>
      <c r="G545" s="519" t="s">
        <v>99</v>
      </c>
      <c r="H545" s="520" t="s">
        <v>253</v>
      </c>
      <c r="I545" s="521">
        <v>1</v>
      </c>
      <c r="J545" s="522">
        <v>3610</v>
      </c>
      <c r="K545" s="522">
        <v>1580</v>
      </c>
      <c r="L545" s="523">
        <f ca="1">NET</f>
        <v>2030</v>
      </c>
      <c r="M545" s="222" t="str">
        <f ca="1">DL</f>
        <v>DARAT</v>
      </c>
      <c r="Q545" s="346"/>
    </row>
    <row r="546" spans="2:17" ht="15">
      <c r="B546" s="517" t="str">
        <f ca="1">SUPPAJA</f>
        <v>RUSLAN JAYA, SH</v>
      </c>
      <c r="C546" s="338">
        <f ca="1">IF(COUNTIFS($B$3:B546,DATAKBA[[#This Row],[NAMA SUPP]],$E$3:E546,DATAKBA[[#This Row],[TANGGAL]])&lt;&gt;1,0,1)</f>
        <v>1</v>
      </c>
      <c r="D546" s="222">
        <f t="shared" si="44"/>
        <v>3</v>
      </c>
      <c r="E546" s="506">
        <v>43895</v>
      </c>
      <c r="F546" s="518" t="str">
        <f ca="1">DOC</f>
        <v>035</v>
      </c>
      <c r="G546" s="519" t="s">
        <v>230</v>
      </c>
      <c r="H546" s="520" t="s">
        <v>255</v>
      </c>
      <c r="I546" s="521">
        <v>3</v>
      </c>
      <c r="J546" s="522">
        <v>26040</v>
      </c>
      <c r="K546" s="522">
        <v>10780</v>
      </c>
      <c r="L546" s="523">
        <f ca="1">NET</f>
        <v>15260</v>
      </c>
      <c r="M546" s="222" t="str">
        <f ca="1">DL</f>
        <v>DARAT</v>
      </c>
      <c r="Q546" s="346"/>
    </row>
    <row r="547" spans="2:17" ht="15">
      <c r="B547" s="517" t="str">
        <f ca="1">SUPPAJA</f>
        <v>YANADI</v>
      </c>
      <c r="C547" s="338">
        <f ca="1">IF(COUNTIFS($B$3:B547,DATAKBA[[#This Row],[NAMA SUPP]],$E$3:E547,DATAKBA[[#This Row],[TANGGAL]])&lt;&gt;1,0,1)</f>
        <v>1</v>
      </c>
      <c r="D547" s="222">
        <f t="shared" si="44"/>
        <v>4</v>
      </c>
      <c r="E547" s="506">
        <v>43895</v>
      </c>
      <c r="F547" s="524" t="str">
        <f ca="1">DOC</f>
        <v>037</v>
      </c>
      <c r="G547" s="525" t="s">
        <v>137</v>
      </c>
      <c r="H547" s="526" t="s">
        <v>265</v>
      </c>
      <c r="I547" s="527">
        <v>1</v>
      </c>
      <c r="J547" s="522">
        <v>21090</v>
      </c>
      <c r="K547" s="522">
        <v>9570</v>
      </c>
      <c r="L547" s="523">
        <f ca="1">NET</f>
        <v>11520</v>
      </c>
      <c r="M547" s="222" t="str">
        <f ca="1">DL</f>
        <v>DARAT</v>
      </c>
      <c r="Q547" s="346"/>
    </row>
    <row r="548" spans="2:17" ht="15">
      <c r="B548" s="517" t="str">
        <f ca="1">SUPPAJA</f>
        <v>YANADI</v>
      </c>
      <c r="C548" s="338">
        <f ca="1">IF(COUNTIFS($B$3:B551,DATAKBA[[#This Row],[NAMA SUPP]],$E$3:E551,DATAKBA[[#This Row],[TANGGAL]])&lt;&gt;1,0,1)</f>
        <v>0</v>
      </c>
      <c r="D548" s="222">
        <f t="shared" si="44"/>
        <v>5</v>
      </c>
      <c r="E548" s="506">
        <v>43895</v>
      </c>
      <c r="F548" s="524" t="str">
        <f ca="1">DOC</f>
        <v/>
      </c>
      <c r="G548" s="525" t="s">
        <v>331</v>
      </c>
      <c r="H548" s="526" t="s">
        <v>265</v>
      </c>
      <c r="I548" s="527">
        <v>1</v>
      </c>
      <c r="J548" s="522">
        <v>8570</v>
      </c>
      <c r="K548" s="522">
        <v>3960</v>
      </c>
      <c r="L548" s="523">
        <f ca="1">NET</f>
        <v>4610</v>
      </c>
      <c r="M548" s="222" t="str">
        <f ca="1">DL</f>
        <v>LAUT</v>
      </c>
      <c r="Q548" s="346"/>
    </row>
    <row r="549" spans="2:17" ht="15">
      <c r="B549" s="517" t="str">
        <f ca="1">SUPPAJA</f>
        <v>HENDRI</v>
      </c>
      <c r="C549" s="338">
        <f ca="1">IF(COUNTIFS($B$3:B549,DATAKBA[[#This Row],[NAMA SUPP]],$E$3:E549,DATAKBA[[#This Row],[TANGGAL]])&lt;&gt;1,0,1)</f>
        <v>1</v>
      </c>
      <c r="D549" s="222">
        <f t="shared" si="44"/>
        <v>6</v>
      </c>
      <c r="E549" s="506">
        <v>43895</v>
      </c>
      <c r="F549" s="518" t="str">
        <f ca="1">DOC</f>
        <v>026</v>
      </c>
      <c r="G549" s="519" t="s">
        <v>335</v>
      </c>
      <c r="H549" s="520" t="s">
        <v>255</v>
      </c>
      <c r="I549" s="521">
        <v>3</v>
      </c>
      <c r="J549" s="522">
        <v>24500</v>
      </c>
      <c r="K549" s="522">
        <v>11760</v>
      </c>
      <c r="L549" s="523">
        <f ca="1">NET</f>
        <v>12740</v>
      </c>
      <c r="M549" s="222" t="str">
        <f ca="1">DL</f>
        <v>LAUT</v>
      </c>
      <c r="Q549" s="346"/>
    </row>
    <row r="550" spans="2:17" ht="15">
      <c r="B550" s="517" t="str">
        <f ca="1">SUPPAJA</f>
        <v>MARTONO</v>
      </c>
      <c r="C550" s="338">
        <f ca="1">IF(COUNTIFS($B$3:B550,DATAKBA[[#This Row],[NAMA SUPP]],$E$3:E550,DATAKBA[[#This Row],[TANGGAL]])&lt;&gt;1,0,1)</f>
        <v>1</v>
      </c>
      <c r="D550" s="222">
        <f t="shared" si="44"/>
        <v>7</v>
      </c>
      <c r="E550" s="506">
        <v>43895</v>
      </c>
      <c r="F550" s="518" t="str">
        <f ca="1">DOC</f>
        <v>039</v>
      </c>
      <c r="G550" s="519" t="s">
        <v>278</v>
      </c>
      <c r="H550" s="520" t="s">
        <v>257</v>
      </c>
      <c r="I550" s="521">
        <v>1</v>
      </c>
      <c r="J550" s="522">
        <v>8000</v>
      </c>
      <c r="K550" s="522">
        <v>3960</v>
      </c>
      <c r="L550" s="523">
        <f ca="1">NET</f>
        <v>4040</v>
      </c>
      <c r="M550" s="222" t="str">
        <f ca="1">DL</f>
        <v>LAUT</v>
      </c>
      <c r="Q550" s="346"/>
    </row>
    <row r="551" spans="2:17" ht="15">
      <c r="B551" s="517" t="str">
        <f ca="1">SUPPAJA</f>
        <v>MARTONO</v>
      </c>
      <c r="C551" s="338">
        <f ca="1">IF(COUNTIFS($B$3:B551,DATAKBA[[#This Row],[NAMA SUPP]],$E$3:E551,DATAKBA[[#This Row],[TANGGAL]])&lt;&gt;1,0,1)</f>
        <v>0</v>
      </c>
      <c r="D551" s="222">
        <f t="shared" si="44"/>
        <v>8</v>
      </c>
      <c r="E551" s="506">
        <v>43895</v>
      </c>
      <c r="F551" s="518" t="str">
        <f ca="1">DOC</f>
        <v/>
      </c>
      <c r="G551" s="519" t="s">
        <v>278</v>
      </c>
      <c r="H551" s="520" t="s">
        <v>257</v>
      </c>
      <c r="I551" s="521">
        <v>1</v>
      </c>
      <c r="J551" s="522">
        <v>5390</v>
      </c>
      <c r="K551" s="522">
        <v>3890</v>
      </c>
      <c r="L551" s="523">
        <f ca="1">NET</f>
        <v>1500</v>
      </c>
      <c r="M551" s="222" t="str">
        <f ca="1">DL</f>
        <v>LAUT</v>
      </c>
      <c r="Q551" s="346"/>
    </row>
    <row r="552" spans="2:17" ht="15">
      <c r="B552" s="517" t="str">
        <f ca="1">SUPPAJA</f>
        <v>ERAWATI</v>
      </c>
      <c r="C552" s="338">
        <f ca="1">IF(COUNTIFS($B$3:B552,DATAKBA[[#This Row],[NAMA SUPP]],$E$3:E552,DATAKBA[[#This Row],[TANGGAL]])&lt;&gt;1,0,1)</f>
        <v>1</v>
      </c>
      <c r="D552" s="222">
        <f t="shared" ref="D552:D558" si="45">COUNTER_RUDI</f>
        <v>1</v>
      </c>
      <c r="E552" s="528">
        <v>43896</v>
      </c>
      <c r="F552" s="518" t="str">
        <f ca="1">DOC</f>
        <v>048</v>
      </c>
      <c r="G552" s="519" t="s">
        <v>220</v>
      </c>
      <c r="H552" s="520" t="s">
        <v>253</v>
      </c>
      <c r="I552" s="521">
        <v>2</v>
      </c>
      <c r="J552" s="522">
        <v>22110</v>
      </c>
      <c r="K552" s="522">
        <v>8970</v>
      </c>
      <c r="L552" s="523">
        <f ca="1">NET</f>
        <v>13140</v>
      </c>
      <c r="M552" s="222" t="str">
        <f ca="1">DL</f>
        <v>DARAT</v>
      </c>
      <c r="Q552" s="346"/>
    </row>
    <row r="553" spans="2:17" ht="15">
      <c r="B553" s="517" t="str">
        <f ca="1">SUPPAJA</f>
        <v>RUSLAN JAYA, SH</v>
      </c>
      <c r="C553" s="338">
        <f ca="1">IF(COUNTIFS($B$3:B553,DATAKBA[[#This Row],[NAMA SUPP]],$E$3:E553,DATAKBA[[#This Row],[TANGGAL]])&lt;&gt;1,0,1)</f>
        <v>1</v>
      </c>
      <c r="D553" s="222">
        <f t="shared" si="45"/>
        <v>2</v>
      </c>
      <c r="E553" s="528">
        <v>43896</v>
      </c>
      <c r="F553" s="518" t="str">
        <f ca="1">DOC</f>
        <v>036</v>
      </c>
      <c r="G553" s="519" t="s">
        <v>230</v>
      </c>
      <c r="H553" s="520" t="s">
        <v>255</v>
      </c>
      <c r="I553" s="521">
        <v>7</v>
      </c>
      <c r="J553" s="522">
        <v>50380</v>
      </c>
      <c r="K553" s="522">
        <v>19330</v>
      </c>
      <c r="L553" s="523">
        <f ca="1">NET</f>
        <v>31050</v>
      </c>
      <c r="M553" s="222" t="str">
        <f ca="1">DL</f>
        <v>DARAT</v>
      </c>
      <c r="Q553" s="346"/>
    </row>
    <row r="554" spans="2:17" ht="15">
      <c r="B554" s="517" t="str">
        <f ca="1">SUPPAJA</f>
        <v>YANADI</v>
      </c>
      <c r="C554" s="338">
        <f ca="1">IF(COUNTIFS($B$3:B554,DATAKBA[[#This Row],[NAMA SUPP]],$E$3:E554,DATAKBA[[#This Row],[TANGGAL]])&lt;&gt;1,0,1)</f>
        <v>1</v>
      </c>
      <c r="D554" s="222">
        <f t="shared" si="45"/>
        <v>3</v>
      </c>
      <c r="E554" s="528">
        <v>43896</v>
      </c>
      <c r="F554" s="524" t="str">
        <f ca="1">DOC</f>
        <v>038</v>
      </c>
      <c r="G554" s="525" t="s">
        <v>137</v>
      </c>
      <c r="H554" s="526" t="s">
        <v>265</v>
      </c>
      <c r="I554" s="527">
        <v>1</v>
      </c>
      <c r="J554" s="522">
        <v>13110</v>
      </c>
      <c r="K554" s="522">
        <v>4480</v>
      </c>
      <c r="L554" s="523">
        <f ca="1">NET</f>
        <v>8630</v>
      </c>
      <c r="M554" s="222" t="str">
        <f ca="1">DL</f>
        <v>DARAT</v>
      </c>
      <c r="Q554" s="346"/>
    </row>
    <row r="555" spans="2:17" ht="15">
      <c r="B555" s="517" t="str">
        <f ca="1">SUPPAJA</f>
        <v>DINI CHAIRANI</v>
      </c>
      <c r="C555" s="338">
        <f ca="1">IF(COUNTIFS($B$3:B555,DATAKBA[[#This Row],[NAMA SUPP]],$E$3:E555,DATAKBA[[#This Row],[TANGGAL]])&lt;&gt;1,0,1)</f>
        <v>1</v>
      </c>
      <c r="D555" s="222">
        <f t="shared" si="45"/>
        <v>4</v>
      </c>
      <c r="E555" s="528">
        <v>43896</v>
      </c>
      <c r="F555" s="518" t="str">
        <f ca="1">DOC</f>
        <v>038</v>
      </c>
      <c r="G555" s="519" t="s">
        <v>228</v>
      </c>
      <c r="H555" s="520" t="s">
        <v>268</v>
      </c>
      <c r="I555" s="521">
        <v>1</v>
      </c>
      <c r="J555" s="522">
        <v>6840</v>
      </c>
      <c r="K555" s="522">
        <v>3960</v>
      </c>
      <c r="L555" s="523">
        <f ca="1">NET</f>
        <v>2880</v>
      </c>
      <c r="M555" s="222" t="str">
        <f ca="1">DL</f>
        <v>LAUT</v>
      </c>
      <c r="Q555" s="346"/>
    </row>
    <row r="556" spans="2:17" ht="15">
      <c r="B556" s="517" t="str">
        <f ca="1">SUPPAJA</f>
        <v>DINI CHAIRANI</v>
      </c>
      <c r="C556" s="338">
        <f ca="1">IF(COUNTIFS($B$3:B556,DATAKBA[[#This Row],[NAMA SUPP]],$E$3:E556,DATAKBA[[#This Row],[TANGGAL]])&lt;&gt;1,0,1)</f>
        <v>0</v>
      </c>
      <c r="D556" s="222">
        <f t="shared" si="45"/>
        <v>5</v>
      </c>
      <c r="E556" s="528">
        <v>43896</v>
      </c>
      <c r="F556" s="518" t="str">
        <f ca="1">DOC</f>
        <v/>
      </c>
      <c r="G556" s="519" t="s">
        <v>434</v>
      </c>
      <c r="H556" s="520" t="s">
        <v>268</v>
      </c>
      <c r="I556" s="521">
        <v>1</v>
      </c>
      <c r="J556" s="522">
        <v>6680</v>
      </c>
      <c r="K556" s="522">
        <v>3810</v>
      </c>
      <c r="L556" s="523">
        <f ca="1">NET</f>
        <v>2870</v>
      </c>
      <c r="M556" s="222" t="str">
        <f ca="1">DL</f>
        <v>LAUT</v>
      </c>
      <c r="Q556" s="346"/>
    </row>
    <row r="557" spans="2:17" ht="15">
      <c r="B557" s="517" t="str">
        <f ca="1">SUPPAJA</f>
        <v>MARTONO</v>
      </c>
      <c r="C557" s="338">
        <f ca="1">IF(COUNTIFS($B$3:B557,DATAKBA[[#This Row],[NAMA SUPP]],$E$3:E557,DATAKBA[[#This Row],[TANGGAL]])&lt;&gt;1,0,1)</f>
        <v>1</v>
      </c>
      <c r="D557" s="222">
        <f t="shared" si="45"/>
        <v>6</v>
      </c>
      <c r="E557" s="528">
        <v>43896</v>
      </c>
      <c r="F557" s="518" t="str">
        <f ca="1">DOC</f>
        <v>040</v>
      </c>
      <c r="G557" s="519" t="s">
        <v>430</v>
      </c>
      <c r="H557" s="520" t="s">
        <v>257</v>
      </c>
      <c r="I557" s="521">
        <v>1</v>
      </c>
      <c r="J557" s="522">
        <v>5680</v>
      </c>
      <c r="K557" s="522">
        <v>3900</v>
      </c>
      <c r="L557" s="523">
        <f ca="1">NET</f>
        <v>1780</v>
      </c>
      <c r="M557" s="222" t="str">
        <f ca="1">DL</f>
        <v>LAUT</v>
      </c>
      <c r="Q557" s="346"/>
    </row>
    <row r="558" spans="2:17" ht="15">
      <c r="B558" s="517" t="str">
        <f ca="1">SUPPAJA</f>
        <v>MASRI</v>
      </c>
      <c r="C558" s="338">
        <f ca="1">IF(COUNTIFS($B$3:B558,DATAKBA[[#This Row],[NAMA SUPP]],$E$3:E558,DATAKBA[[#This Row],[TANGGAL]])&lt;&gt;1,0,1)</f>
        <v>1</v>
      </c>
      <c r="D558" s="222">
        <f t="shared" si="45"/>
        <v>7</v>
      </c>
      <c r="E558" s="528">
        <v>43896</v>
      </c>
      <c r="F558" s="524" t="str">
        <f ca="1">DOC</f>
        <v>026</v>
      </c>
      <c r="G558" s="525" t="s">
        <v>357</v>
      </c>
      <c r="H558" s="526" t="s">
        <v>260</v>
      </c>
      <c r="I558" s="527">
        <v>8</v>
      </c>
      <c r="J558" s="522">
        <v>65270</v>
      </c>
      <c r="K558" s="522">
        <v>31180</v>
      </c>
      <c r="L558" s="523">
        <f ca="1">NET</f>
        <v>34090</v>
      </c>
      <c r="M558" s="222" t="str">
        <f ca="1">DL</f>
        <v>LAUT</v>
      </c>
      <c r="Q558" s="346"/>
    </row>
    <row r="559" spans="2:17" ht="15">
      <c r="B559" s="517" t="str">
        <f ca="1">SUPPAJA</f>
        <v>ERAWATI</v>
      </c>
      <c r="C559" s="338">
        <f ca="1">IF(COUNTIFS($B$3:B559,DATAKBA[[#This Row],[NAMA SUPP]],$E$3:E559,DATAKBA[[#This Row],[TANGGAL]])&lt;&gt;1,0,1)</f>
        <v>1</v>
      </c>
      <c r="D559" s="222">
        <f t="shared" ref="D559:D569" si="46">COUNTER_RUDI</f>
        <v>1</v>
      </c>
      <c r="E559" s="528">
        <v>43897</v>
      </c>
      <c r="F559" s="518" t="str">
        <f ca="1">DOC</f>
        <v>049</v>
      </c>
      <c r="G559" s="519" t="s">
        <v>220</v>
      </c>
      <c r="H559" s="520" t="s">
        <v>253</v>
      </c>
      <c r="I559" s="521">
        <v>1</v>
      </c>
      <c r="J559" s="522">
        <v>10130</v>
      </c>
      <c r="K559" s="522">
        <v>8310</v>
      </c>
      <c r="L559" s="523">
        <f ca="1">NET</f>
        <v>1820</v>
      </c>
      <c r="M559" s="222" t="str">
        <f ca="1">DL</f>
        <v>DARAT</v>
      </c>
      <c r="Q559" s="346"/>
    </row>
    <row r="560" spans="2:17" ht="15">
      <c r="B560" s="517" t="str">
        <f ca="1">SUPPAJA</f>
        <v>RUSLAN JAYA, SH</v>
      </c>
      <c r="C560" s="338">
        <f ca="1">IF(COUNTIFS($B$3:B560,DATAKBA[[#This Row],[NAMA SUPP]],$E$3:E560,DATAKBA[[#This Row],[TANGGAL]])&lt;&gt;1,0,1)</f>
        <v>1</v>
      </c>
      <c r="D560" s="222">
        <f t="shared" si="46"/>
        <v>2</v>
      </c>
      <c r="E560" s="528">
        <v>43897</v>
      </c>
      <c r="F560" s="524" t="str">
        <f ca="1">DOC</f>
        <v>037</v>
      </c>
      <c r="G560" s="525" t="s">
        <v>230</v>
      </c>
      <c r="H560" s="520" t="s">
        <v>255</v>
      </c>
      <c r="I560" s="527">
        <v>5</v>
      </c>
      <c r="J560" s="522">
        <v>33510</v>
      </c>
      <c r="K560" s="522">
        <v>19880</v>
      </c>
      <c r="L560" s="523">
        <f ca="1">NET</f>
        <v>13630</v>
      </c>
      <c r="M560" s="222" t="str">
        <f ca="1">DL</f>
        <v>DARAT</v>
      </c>
      <c r="Q560" s="346"/>
    </row>
    <row r="561" spans="2:17" ht="15">
      <c r="B561" s="517" t="str">
        <f ca="1">SUPPAJA</f>
        <v>MASRI</v>
      </c>
      <c r="C561" s="338">
        <f ca="1">IF(COUNTIFS($B$3:B561,DATAKBA[[#This Row],[NAMA SUPP]],$E$3:E561,DATAKBA[[#This Row],[TANGGAL]])&lt;&gt;1,0,1)</f>
        <v>1</v>
      </c>
      <c r="D561" s="222">
        <f t="shared" si="46"/>
        <v>3</v>
      </c>
      <c r="E561" s="528">
        <v>43897</v>
      </c>
      <c r="F561" s="524" t="str">
        <f ca="1">DOC</f>
        <v>027</v>
      </c>
      <c r="G561" s="525" t="s">
        <v>357</v>
      </c>
      <c r="H561" s="526" t="s">
        <v>260</v>
      </c>
      <c r="I561" s="527">
        <v>11</v>
      </c>
      <c r="J561" s="522">
        <v>89730</v>
      </c>
      <c r="K561" s="522">
        <v>42750</v>
      </c>
      <c r="L561" s="523">
        <f ca="1">NET</f>
        <v>46980</v>
      </c>
      <c r="M561" s="222" t="str">
        <f ca="1">DL</f>
        <v>LAUT</v>
      </c>
      <c r="Q561" s="346"/>
    </row>
    <row r="562" spans="2:17" ht="15">
      <c r="B562" s="517" t="str">
        <f ca="1">SUPPAJA</f>
        <v>ERAWATI</v>
      </c>
      <c r="C562" s="338">
        <f ca="1">IF(COUNTIFS($B$3:B562,DATAKBA[[#This Row],[NAMA SUPP]],$E$3:E562,DATAKBA[[#This Row],[TANGGAL]])&lt;&gt;1,0,1)</f>
        <v>1</v>
      </c>
      <c r="D562" s="222">
        <f t="shared" si="46"/>
        <v>1</v>
      </c>
      <c r="E562" s="528">
        <v>43899</v>
      </c>
      <c r="F562" s="518" t="str">
        <f ca="1">DOC</f>
        <v>050</v>
      </c>
      <c r="G562" s="519" t="s">
        <v>220</v>
      </c>
      <c r="H562" s="520" t="s">
        <v>253</v>
      </c>
      <c r="I562" s="521">
        <v>2</v>
      </c>
      <c r="J562" s="522">
        <v>21910</v>
      </c>
      <c r="K562" s="522">
        <v>9130</v>
      </c>
      <c r="L562" s="523">
        <f ca="1">NET</f>
        <v>12780</v>
      </c>
      <c r="M562" s="222" t="str">
        <f ca="1">DL</f>
        <v>DARAT</v>
      </c>
      <c r="Q562" s="346"/>
    </row>
    <row r="563" spans="2:17" ht="15">
      <c r="B563" s="517" t="str">
        <f ca="1">SUPPAJA</f>
        <v>INDRAYANI</v>
      </c>
      <c r="C563" s="338">
        <f ca="1">IF(COUNTIFS($B$3:B563,DATAKBA[[#This Row],[NAMA SUPP]],$E$3:E563,DATAKBA[[#This Row],[TANGGAL]])&lt;&gt;1,0,1)</f>
        <v>1</v>
      </c>
      <c r="D563" s="222">
        <f t="shared" si="46"/>
        <v>2</v>
      </c>
      <c r="E563" s="528">
        <v>43899</v>
      </c>
      <c r="F563" s="518" t="str">
        <f ca="1">DOC</f>
        <v>045</v>
      </c>
      <c r="G563" s="519" t="s">
        <v>99</v>
      </c>
      <c r="H563" s="520" t="s">
        <v>253</v>
      </c>
      <c r="I563" s="521">
        <v>1</v>
      </c>
      <c r="J563" s="522">
        <v>9420</v>
      </c>
      <c r="K563" s="522">
        <v>6470</v>
      </c>
      <c r="L563" s="523">
        <f ca="1">NET</f>
        <v>2950</v>
      </c>
      <c r="M563" s="222" t="str">
        <f ca="1">DL</f>
        <v>DARAT</v>
      </c>
      <c r="Q563" s="346"/>
    </row>
    <row r="564" spans="2:17" ht="15">
      <c r="B564" s="517" t="str">
        <f ca="1">SUPPAJA</f>
        <v>RUSLAN JAYA, SH</v>
      </c>
      <c r="C564" s="338">
        <f ca="1">IF(COUNTIFS($B$3:B564,DATAKBA[[#This Row],[NAMA SUPP]],$E$3:E564,DATAKBA[[#This Row],[TANGGAL]])&lt;&gt;1,0,1)</f>
        <v>1</v>
      </c>
      <c r="D564" s="222">
        <f t="shared" si="46"/>
        <v>3</v>
      </c>
      <c r="E564" s="528">
        <v>43899</v>
      </c>
      <c r="F564" s="518" t="str">
        <f ca="1">DOC</f>
        <v>038</v>
      </c>
      <c r="G564" s="519" t="s">
        <v>230</v>
      </c>
      <c r="H564" s="520" t="s">
        <v>255</v>
      </c>
      <c r="I564" s="521">
        <v>6</v>
      </c>
      <c r="J564" s="522">
        <v>59130</v>
      </c>
      <c r="K564" s="522">
        <v>23890</v>
      </c>
      <c r="L564" s="523">
        <f ca="1">NET</f>
        <v>35240</v>
      </c>
      <c r="M564" s="222" t="str">
        <f ca="1">DL</f>
        <v>DARAT</v>
      </c>
      <c r="Q564" s="346"/>
    </row>
    <row r="565" spans="2:17" ht="15">
      <c r="B565" s="517" t="str">
        <f ca="1">SUPPAJA</f>
        <v>YANADI</v>
      </c>
      <c r="C565" s="338">
        <f ca="1">IF(COUNTIFS($B$3:B565,DATAKBA[[#This Row],[NAMA SUPP]],$E$3:E565,DATAKBA[[#This Row],[TANGGAL]])&lt;&gt;1,0,1)</f>
        <v>1</v>
      </c>
      <c r="D565" s="222">
        <f t="shared" si="46"/>
        <v>4</v>
      </c>
      <c r="E565" s="528">
        <v>43899</v>
      </c>
      <c r="F565" s="524" t="str">
        <f ca="1">DOC</f>
        <v>039</v>
      </c>
      <c r="G565" s="525" t="s">
        <v>137</v>
      </c>
      <c r="H565" s="526" t="s">
        <v>265</v>
      </c>
      <c r="I565" s="527">
        <v>3</v>
      </c>
      <c r="J565" s="522">
        <v>36620</v>
      </c>
      <c r="K565" s="522">
        <v>12570</v>
      </c>
      <c r="L565" s="523">
        <f ca="1">NET</f>
        <v>24050</v>
      </c>
      <c r="M565" s="222" t="str">
        <f ca="1">DL</f>
        <v>DARAT</v>
      </c>
      <c r="Q565" s="346"/>
    </row>
    <row r="566" spans="2:17" ht="15">
      <c r="B566" s="517" t="str">
        <f ca="1">SUPPAJA</f>
        <v>YANADI</v>
      </c>
      <c r="C566" s="338">
        <f ca="1">IF(COUNTIFS($B$3:B566,DATAKBA[[#This Row],[NAMA SUPP]],$E$3:E566,DATAKBA[[#This Row],[TANGGAL]])&lt;&gt;1,0,1)</f>
        <v>0</v>
      </c>
      <c r="D566" s="222">
        <f t="shared" si="46"/>
        <v>5</v>
      </c>
      <c r="E566" s="528">
        <v>43899</v>
      </c>
      <c r="F566" s="518" t="str">
        <f ca="1">DOC</f>
        <v/>
      </c>
      <c r="G566" s="519" t="s">
        <v>331</v>
      </c>
      <c r="H566" s="520" t="s">
        <v>265</v>
      </c>
      <c r="I566" s="521">
        <v>1</v>
      </c>
      <c r="J566" s="522">
        <v>8740</v>
      </c>
      <c r="K566" s="522">
        <v>3850</v>
      </c>
      <c r="L566" s="523">
        <f ca="1">NET</f>
        <v>4890</v>
      </c>
      <c r="M566" s="222" t="str">
        <f ca="1">DL</f>
        <v>LAUT</v>
      </c>
      <c r="Q566" s="346"/>
    </row>
    <row r="567" spans="2:17" ht="15">
      <c r="B567" s="517" t="str">
        <f ca="1">SUPPAJA</f>
        <v>YANADI</v>
      </c>
      <c r="C567" s="338">
        <f ca="1">IF(COUNTIFS($B$3:B569,DATAKBA[[#This Row],[NAMA SUPP]],$E$3:E569,DATAKBA[[#This Row],[TANGGAL]])&lt;&gt;1,0,1)</f>
        <v>0</v>
      </c>
      <c r="D567" s="222">
        <f t="shared" si="46"/>
        <v>6</v>
      </c>
      <c r="E567" s="528">
        <v>43899</v>
      </c>
      <c r="F567" s="524" t="str">
        <f ca="1">DOC</f>
        <v/>
      </c>
      <c r="G567" s="525" t="s">
        <v>374</v>
      </c>
      <c r="H567" s="526" t="s">
        <v>265</v>
      </c>
      <c r="I567" s="527">
        <v>2</v>
      </c>
      <c r="J567" s="522">
        <v>15100</v>
      </c>
      <c r="K567" s="522">
        <v>7790</v>
      </c>
      <c r="L567" s="523">
        <f ca="1">NET</f>
        <v>7310</v>
      </c>
      <c r="M567" s="222" t="str">
        <f ca="1">DL</f>
        <v>LAUT</v>
      </c>
      <c r="Q567" s="346"/>
    </row>
    <row r="568" spans="2:17" ht="15">
      <c r="B568" s="517" t="str">
        <f ca="1">SUPPAJA</f>
        <v>HENDRI</v>
      </c>
      <c r="C568" s="338">
        <f ca="1">IF(COUNTIFS($B$3:B568,DATAKBA[[#This Row],[NAMA SUPP]],$E$3:E568,DATAKBA[[#This Row],[TANGGAL]])&lt;&gt;1,0,1)</f>
        <v>1</v>
      </c>
      <c r="D568" s="222">
        <f t="shared" si="46"/>
        <v>7</v>
      </c>
      <c r="E568" s="528">
        <v>43899</v>
      </c>
      <c r="F568" s="518" t="str">
        <f ca="1">DOC</f>
        <v>027</v>
      </c>
      <c r="G568" s="519" t="s">
        <v>270</v>
      </c>
      <c r="H568" s="520" t="s">
        <v>255</v>
      </c>
      <c r="I568" s="521">
        <v>1</v>
      </c>
      <c r="J568" s="522">
        <v>7360</v>
      </c>
      <c r="K568" s="522">
        <v>3880</v>
      </c>
      <c r="L568" s="523">
        <f ca="1">NET</f>
        <v>3480</v>
      </c>
      <c r="M568" s="222" t="str">
        <f ca="1">DL</f>
        <v>LAUT</v>
      </c>
      <c r="Q568" s="346"/>
    </row>
    <row r="569" spans="2:17" ht="15">
      <c r="B569" s="517" t="str">
        <f ca="1">SUPPAJA</f>
        <v>MARTONO</v>
      </c>
      <c r="C569" s="338">
        <f ca="1">IF(COUNTIFS($B$3:B569,DATAKBA[[#This Row],[NAMA SUPP]],$E$3:E569,DATAKBA[[#This Row],[TANGGAL]])&lt;&gt;1,0,1)</f>
        <v>1</v>
      </c>
      <c r="D569" s="222">
        <f t="shared" si="46"/>
        <v>8</v>
      </c>
      <c r="E569" s="528">
        <v>43899</v>
      </c>
      <c r="F569" s="518" t="str">
        <f ca="1">DOC</f>
        <v>041</v>
      </c>
      <c r="G569" s="519" t="s">
        <v>258</v>
      </c>
      <c r="H569" s="520" t="s">
        <v>257</v>
      </c>
      <c r="I569" s="521">
        <v>1</v>
      </c>
      <c r="J569" s="522">
        <v>6120</v>
      </c>
      <c r="K569" s="522">
        <v>3890</v>
      </c>
      <c r="L569" s="523">
        <f ca="1">NET</f>
        <v>2230</v>
      </c>
      <c r="M569" s="222" t="str">
        <f ca="1">DL</f>
        <v>LAUT</v>
      </c>
      <c r="Q569" s="346"/>
    </row>
    <row r="570" spans="2:17" ht="15">
      <c r="B570" s="517" t="str">
        <f ca="1">SUPPAJA</f>
        <v>ERAWATI</v>
      </c>
      <c r="C570" s="338">
        <f ca="1">IF(COUNTIFS($B$3:B570,DATAKBA[[#This Row],[NAMA SUPP]],$E$3:E570,DATAKBA[[#This Row],[TANGGAL]])&lt;&gt;1,0,1)</f>
        <v>1</v>
      </c>
      <c r="D570" s="222">
        <f t="shared" ref="D570:D577" si="47">COUNTER_RUDI</f>
        <v>1</v>
      </c>
      <c r="E570" s="528">
        <v>43900</v>
      </c>
      <c r="F570" s="518" t="str">
        <f ca="1">DOC</f>
        <v>051</v>
      </c>
      <c r="G570" s="519" t="s">
        <v>220</v>
      </c>
      <c r="H570" s="520" t="s">
        <v>253</v>
      </c>
      <c r="I570" s="521">
        <v>1</v>
      </c>
      <c r="J570" s="522">
        <v>12560</v>
      </c>
      <c r="K570" s="522">
        <v>4420</v>
      </c>
      <c r="L570" s="523">
        <f ca="1">NET</f>
        <v>8140</v>
      </c>
      <c r="M570" s="222" t="str">
        <f ca="1">DL</f>
        <v>DARAT</v>
      </c>
      <c r="Q570" s="346"/>
    </row>
    <row r="571" spans="2:17" ht="15">
      <c r="B571" s="517" t="str">
        <f ca="1">SUPPAJA</f>
        <v>INDRAYANI</v>
      </c>
      <c r="C571" s="338">
        <f ca="1">IF(COUNTIFS($B$3:B571,DATAKBA[[#This Row],[NAMA SUPP]],$E$3:E571,DATAKBA[[#This Row],[TANGGAL]])&lt;&gt;1,0,1)</f>
        <v>1</v>
      </c>
      <c r="D571" s="222">
        <f t="shared" si="47"/>
        <v>2</v>
      </c>
      <c r="E571" s="528">
        <v>43900</v>
      </c>
      <c r="F571" s="518" t="str">
        <f ca="1">DOC</f>
        <v>046</v>
      </c>
      <c r="G571" s="519" t="s">
        <v>99</v>
      </c>
      <c r="H571" s="520" t="s">
        <v>253</v>
      </c>
      <c r="I571" s="521">
        <v>1</v>
      </c>
      <c r="J571" s="522">
        <v>7520</v>
      </c>
      <c r="K571" s="522">
        <v>3450</v>
      </c>
      <c r="L571" s="523">
        <f ca="1">NET</f>
        <v>4070</v>
      </c>
      <c r="M571" s="222" t="str">
        <f ca="1">DL</f>
        <v>DARAT</v>
      </c>
      <c r="Q571" s="346"/>
    </row>
    <row r="572" spans="2:17" ht="15">
      <c r="B572" s="517" t="str">
        <f ca="1">SUPPAJA</f>
        <v>RUSLAN JAYA, SH</v>
      </c>
      <c r="C572" s="338">
        <f ca="1">IF(COUNTIFS($B$3:B572,DATAKBA[[#This Row],[NAMA SUPP]],$E$3:E572,DATAKBA[[#This Row],[TANGGAL]])&lt;&gt;1,0,1)</f>
        <v>1</v>
      </c>
      <c r="D572" s="222">
        <f t="shared" si="47"/>
        <v>3</v>
      </c>
      <c r="E572" s="528">
        <v>43900</v>
      </c>
      <c r="F572" s="518" t="str">
        <f ca="1">DOC</f>
        <v>039</v>
      </c>
      <c r="G572" s="519" t="s">
        <v>230</v>
      </c>
      <c r="H572" s="520" t="s">
        <v>255</v>
      </c>
      <c r="I572" s="521">
        <v>6</v>
      </c>
      <c r="J572" s="522">
        <v>49930</v>
      </c>
      <c r="K572" s="522">
        <v>18540</v>
      </c>
      <c r="L572" s="523">
        <f ca="1">NET</f>
        <v>31390</v>
      </c>
      <c r="M572" s="222" t="str">
        <f ca="1">DL</f>
        <v>DARAT</v>
      </c>
      <c r="Q572" s="346"/>
    </row>
    <row r="573" spans="2:17" ht="15">
      <c r="B573" s="517" t="str">
        <f ca="1">SUPPAJA</f>
        <v>YANADI</v>
      </c>
      <c r="C573" s="338">
        <f ca="1">IF(COUNTIFS($B$3:B573,DATAKBA[[#This Row],[NAMA SUPP]],$E$3:E573,DATAKBA[[#This Row],[TANGGAL]])&lt;&gt;1,0,1)</f>
        <v>1</v>
      </c>
      <c r="D573" s="222">
        <f t="shared" si="47"/>
        <v>4</v>
      </c>
      <c r="E573" s="528">
        <v>43900</v>
      </c>
      <c r="F573" s="524" t="str">
        <f ca="1">DOC</f>
        <v>040</v>
      </c>
      <c r="G573" s="525" t="s">
        <v>137</v>
      </c>
      <c r="H573" s="526" t="s">
        <v>265</v>
      </c>
      <c r="I573" s="527">
        <v>3</v>
      </c>
      <c r="J573" s="522">
        <v>37560</v>
      </c>
      <c r="K573" s="522">
        <v>13240</v>
      </c>
      <c r="L573" s="523">
        <f ca="1">NET</f>
        <v>24320</v>
      </c>
      <c r="M573" s="222" t="str">
        <f ca="1">DL</f>
        <v>DARAT</v>
      </c>
      <c r="Q573" s="346"/>
    </row>
    <row r="574" spans="2:17" ht="15">
      <c r="B574" s="517" t="str">
        <f ca="1">SUPPAJA</f>
        <v>DINI CHAIRANI</v>
      </c>
      <c r="C574" s="338">
        <f ca="1">IF(COUNTIFS($B$3:B574,DATAKBA[[#This Row],[NAMA SUPP]],$E$3:E574,DATAKBA[[#This Row],[TANGGAL]])&lt;&gt;1,0,1)</f>
        <v>1</v>
      </c>
      <c r="D574" s="222">
        <f t="shared" si="47"/>
        <v>5</v>
      </c>
      <c r="E574" s="528">
        <v>43900</v>
      </c>
      <c r="F574" s="518" t="str">
        <f ca="1">DOC</f>
        <v>039</v>
      </c>
      <c r="G574" s="519" t="s">
        <v>269</v>
      </c>
      <c r="H574" s="520" t="s">
        <v>268</v>
      </c>
      <c r="I574" s="521">
        <v>3</v>
      </c>
      <c r="J574" s="522">
        <v>22060</v>
      </c>
      <c r="K574" s="522">
        <v>11660</v>
      </c>
      <c r="L574" s="523">
        <f ca="1">NET</f>
        <v>10400</v>
      </c>
      <c r="M574" s="222" t="str">
        <f ca="1">DL</f>
        <v>LAUT</v>
      </c>
      <c r="Q574" s="346"/>
    </row>
    <row r="575" spans="2:17" ht="15">
      <c r="B575" s="517" t="str">
        <f ca="1">SUPPAJA</f>
        <v>MARTONO</v>
      </c>
      <c r="C575" s="338">
        <f ca="1">IF(COUNTIFS($B$3:B575,DATAKBA[[#This Row],[NAMA SUPP]],$E$3:E575,DATAKBA[[#This Row],[TANGGAL]])&lt;&gt;1,0,1)</f>
        <v>1</v>
      </c>
      <c r="D575" s="222">
        <f t="shared" si="47"/>
        <v>6</v>
      </c>
      <c r="E575" s="528">
        <v>43900</v>
      </c>
      <c r="F575" s="518" t="str">
        <f ca="1">DOC</f>
        <v>042</v>
      </c>
      <c r="G575" s="519" t="s">
        <v>347</v>
      </c>
      <c r="H575" s="520" t="s">
        <v>257</v>
      </c>
      <c r="I575" s="521">
        <v>2</v>
      </c>
      <c r="J575" s="522">
        <v>17570</v>
      </c>
      <c r="K575" s="522">
        <v>7770</v>
      </c>
      <c r="L575" s="523">
        <f ca="1">NET</f>
        <v>9800</v>
      </c>
      <c r="M575" s="222" t="str">
        <f ca="1">DL</f>
        <v>LAUT</v>
      </c>
      <c r="Q575" s="346"/>
    </row>
    <row r="576" spans="2:17" ht="15">
      <c r="B576" s="517" t="str">
        <f ca="1">SUPPAJA</f>
        <v>MARTONO</v>
      </c>
      <c r="C576" s="338">
        <f ca="1">IF(COUNTIFS($B$3:B576,DATAKBA[[#This Row],[NAMA SUPP]],$E$3:E576,DATAKBA[[#This Row],[TANGGAL]])&lt;&gt;1,0,1)</f>
        <v>0</v>
      </c>
      <c r="D576" s="222">
        <f t="shared" si="47"/>
        <v>7</v>
      </c>
      <c r="E576" s="528">
        <v>43900</v>
      </c>
      <c r="F576" s="518" t="str">
        <f ca="1">DOC</f>
        <v/>
      </c>
      <c r="G576" s="519" t="s">
        <v>258</v>
      </c>
      <c r="H576" s="520" t="s">
        <v>257</v>
      </c>
      <c r="I576" s="521">
        <v>1</v>
      </c>
      <c r="J576" s="522">
        <v>7400</v>
      </c>
      <c r="K576" s="522">
        <v>3890</v>
      </c>
      <c r="L576" s="523">
        <f ca="1">NET</f>
        <v>3510</v>
      </c>
      <c r="M576" s="222" t="str">
        <f ca="1">DL</f>
        <v>LAUT</v>
      </c>
      <c r="Q576" s="346"/>
    </row>
    <row r="577" spans="2:17" ht="15">
      <c r="B577" s="517" t="str">
        <f ca="1">SUPPAJA</f>
        <v>RITA ERNITA</v>
      </c>
      <c r="C577" s="338">
        <f ca="1">IF(COUNTIFS($B$3:B577,DATAKBA[[#This Row],[NAMA SUPP]],$E$3:E577,DATAKBA[[#This Row],[TANGGAL]])&lt;&gt;1,0,1)</f>
        <v>1</v>
      </c>
      <c r="D577" s="222">
        <f t="shared" si="47"/>
        <v>8</v>
      </c>
      <c r="E577" s="528">
        <v>43900</v>
      </c>
      <c r="F577" s="524" t="str">
        <f ca="1">DOC</f>
        <v>008</v>
      </c>
      <c r="G577" s="525" t="s">
        <v>266</v>
      </c>
      <c r="H577" s="526" t="s">
        <v>263</v>
      </c>
      <c r="I577" s="527">
        <v>9</v>
      </c>
      <c r="J577" s="522">
        <v>75120</v>
      </c>
      <c r="K577" s="522">
        <v>34860</v>
      </c>
      <c r="L577" s="523">
        <f ca="1">NET</f>
        <v>40260</v>
      </c>
      <c r="M577" s="222" t="str">
        <f ca="1">DL</f>
        <v>LAUT</v>
      </c>
      <c r="Q577" s="346"/>
    </row>
    <row r="578" spans="2:17" ht="15">
      <c r="B578" s="517" t="str">
        <f ca="1">SUPPAJA</f>
        <v>ERAWATI</v>
      </c>
      <c r="C578" s="338">
        <f ca="1">IF(COUNTIFS($B$3:B578,DATAKBA[[#This Row],[NAMA SUPP]],$E$3:E578,DATAKBA[[#This Row],[TANGGAL]])&lt;&gt;1,0,1)</f>
        <v>1</v>
      </c>
      <c r="D578" s="222">
        <f t="shared" ref="D578:D585" si="48">COUNTER_RUDI</f>
        <v>1</v>
      </c>
      <c r="E578" s="528">
        <v>43901</v>
      </c>
      <c r="F578" s="518" t="str">
        <f ca="1">DOC</f>
        <v>052</v>
      </c>
      <c r="G578" s="519" t="s">
        <v>220</v>
      </c>
      <c r="H578" s="520" t="s">
        <v>253</v>
      </c>
      <c r="I578" s="521">
        <v>4</v>
      </c>
      <c r="J578" s="522">
        <v>29600</v>
      </c>
      <c r="K578" s="522">
        <v>11880</v>
      </c>
      <c r="L578" s="523">
        <f ca="1">NET</f>
        <v>17720</v>
      </c>
      <c r="M578" s="222" t="str">
        <f ca="1">DL</f>
        <v>DARAT</v>
      </c>
      <c r="Q578" s="346"/>
    </row>
    <row r="579" spans="2:17" ht="15">
      <c r="B579" s="517" t="str">
        <f ca="1">SUPPAJA</f>
        <v>INDRAYANI</v>
      </c>
      <c r="C579" s="338">
        <f ca="1">IF(COUNTIFS($B$3:B579,DATAKBA[[#This Row],[NAMA SUPP]],$E$3:E579,DATAKBA[[#This Row],[TANGGAL]])&lt;&gt;1,0,1)</f>
        <v>1</v>
      </c>
      <c r="D579" s="222">
        <f t="shared" si="48"/>
        <v>2</v>
      </c>
      <c r="E579" s="528">
        <v>43901</v>
      </c>
      <c r="F579" s="518" t="str">
        <f ca="1">DOC</f>
        <v>047</v>
      </c>
      <c r="G579" s="519" t="s">
        <v>99</v>
      </c>
      <c r="H579" s="520" t="s">
        <v>253</v>
      </c>
      <c r="I579" s="521">
        <v>1</v>
      </c>
      <c r="J579" s="522">
        <v>9970</v>
      </c>
      <c r="K579" s="522">
        <v>4340</v>
      </c>
      <c r="L579" s="523">
        <f ca="1">NET</f>
        <v>5630</v>
      </c>
      <c r="M579" s="222" t="str">
        <f ca="1">DL</f>
        <v>DARAT</v>
      </c>
      <c r="Q579" s="346"/>
    </row>
    <row r="580" spans="2:17" ht="15">
      <c r="B580" s="517" t="str">
        <f ca="1">SUPPAJA</f>
        <v>RUSLAN JAYA, SH</v>
      </c>
      <c r="C580" s="338">
        <f ca="1">IF(COUNTIFS($B$3:B580,DATAKBA[[#This Row],[NAMA SUPP]],$E$3:E580,DATAKBA[[#This Row],[TANGGAL]])&lt;&gt;1,0,1)</f>
        <v>1</v>
      </c>
      <c r="D580" s="222">
        <f t="shared" si="48"/>
        <v>3</v>
      </c>
      <c r="E580" s="528">
        <v>43901</v>
      </c>
      <c r="F580" s="518" t="str">
        <f ca="1">DOC</f>
        <v>040</v>
      </c>
      <c r="G580" s="519" t="s">
        <v>230</v>
      </c>
      <c r="H580" s="520" t="s">
        <v>255</v>
      </c>
      <c r="I580" s="521">
        <v>3</v>
      </c>
      <c r="J580" s="522">
        <v>20630</v>
      </c>
      <c r="K580" s="522">
        <v>7550</v>
      </c>
      <c r="L580" s="523">
        <f ca="1">NET</f>
        <v>13080</v>
      </c>
      <c r="M580" s="222" t="str">
        <f ca="1">DL</f>
        <v>DARAT</v>
      </c>
      <c r="Q580" s="346"/>
    </row>
    <row r="581" spans="2:17" ht="15">
      <c r="B581" s="517" t="str">
        <f ca="1">SUPPAJA</f>
        <v>MARTONO</v>
      </c>
      <c r="C581" s="338">
        <f ca="1">IF(COUNTIFS($B$3:B581,DATAKBA[[#This Row],[NAMA SUPP]],$E$3:E581,DATAKBA[[#This Row],[TANGGAL]])&lt;&gt;1,0,1)</f>
        <v>1</v>
      </c>
      <c r="D581" s="222">
        <f t="shared" si="48"/>
        <v>4</v>
      </c>
      <c r="E581" s="528">
        <v>43901</v>
      </c>
      <c r="F581" s="518" t="str">
        <f ca="1">DOC</f>
        <v>043</v>
      </c>
      <c r="G581" s="519" t="s">
        <v>435</v>
      </c>
      <c r="H581" s="520" t="s">
        <v>257</v>
      </c>
      <c r="I581" s="521">
        <v>2</v>
      </c>
      <c r="J581" s="522">
        <v>14600</v>
      </c>
      <c r="K581" s="522">
        <v>7760</v>
      </c>
      <c r="L581" s="523">
        <f ca="1">NET</f>
        <v>6840</v>
      </c>
      <c r="M581" s="222" t="str">
        <f ca="1">DL</f>
        <v>LAUT</v>
      </c>
      <c r="Q581" s="346"/>
    </row>
    <row r="582" spans="2:17" ht="15">
      <c r="B582" s="517" t="str">
        <f ca="1">SUPPAJA</f>
        <v>MARTONO</v>
      </c>
      <c r="C582" s="338">
        <f ca="1">IF(COUNTIFS($B$3:B582,DATAKBA[[#This Row],[NAMA SUPP]],$E$3:E582,DATAKBA[[#This Row],[TANGGAL]])&lt;&gt;1,0,1)</f>
        <v>0</v>
      </c>
      <c r="D582" s="222">
        <f t="shared" si="48"/>
        <v>5</v>
      </c>
      <c r="E582" s="528">
        <v>43901</v>
      </c>
      <c r="F582" s="518" t="str">
        <f ca="1">DOC</f>
        <v/>
      </c>
      <c r="G582" s="519" t="s">
        <v>278</v>
      </c>
      <c r="H582" s="520" t="s">
        <v>257</v>
      </c>
      <c r="I582" s="521">
        <v>1</v>
      </c>
      <c r="J582" s="522">
        <v>7240</v>
      </c>
      <c r="K582" s="522">
        <v>3890</v>
      </c>
      <c r="L582" s="523">
        <f ca="1">NET</f>
        <v>3350</v>
      </c>
      <c r="M582" s="222" t="str">
        <f ca="1">DL</f>
        <v>LAUT</v>
      </c>
      <c r="Q582" s="346"/>
    </row>
    <row r="583" spans="2:17" ht="15">
      <c r="B583" s="517" t="str">
        <f ca="1">SUPPAJA</f>
        <v>SUKAMTO</v>
      </c>
      <c r="C583" s="338">
        <f ca="1">IF(COUNTIFS($B$3:B583,DATAKBA[[#This Row],[NAMA SUPP]],$E$3:E583,DATAKBA[[#This Row],[TANGGAL]])&lt;&gt;1,0,1)</f>
        <v>1</v>
      </c>
      <c r="D583" s="222">
        <f t="shared" si="48"/>
        <v>6</v>
      </c>
      <c r="E583" s="528">
        <v>43901</v>
      </c>
      <c r="F583" s="518" t="str">
        <f ca="1">DOC</f>
        <v>015</v>
      </c>
      <c r="G583" s="519" t="s">
        <v>395</v>
      </c>
      <c r="H583" s="520" t="s">
        <v>275</v>
      </c>
      <c r="I583" s="521">
        <v>1</v>
      </c>
      <c r="J583" s="522">
        <v>8150</v>
      </c>
      <c r="K583" s="522">
        <v>3880</v>
      </c>
      <c r="L583" s="523">
        <f ca="1">NET</f>
        <v>4270</v>
      </c>
      <c r="M583" s="222" t="str">
        <f ca="1">DL</f>
        <v>LAUT</v>
      </c>
      <c r="Q583" s="346"/>
    </row>
    <row r="584" spans="2:17" ht="15">
      <c r="B584" s="517" t="str">
        <f ca="1">SUPPAJA</f>
        <v>SUKAMTO</v>
      </c>
      <c r="C584" s="338">
        <f ca="1">IF(COUNTIFS($B$3:B584,DATAKBA[[#This Row],[NAMA SUPP]],$E$3:E584,DATAKBA[[#This Row],[TANGGAL]])&lt;&gt;1,0,1)</f>
        <v>0</v>
      </c>
      <c r="D584" s="222">
        <f t="shared" si="48"/>
        <v>7</v>
      </c>
      <c r="E584" s="528">
        <v>43901</v>
      </c>
      <c r="F584" s="518" t="str">
        <f ca="1">DOC</f>
        <v/>
      </c>
      <c r="G584" s="519" t="s">
        <v>436</v>
      </c>
      <c r="H584" s="520" t="s">
        <v>275</v>
      </c>
      <c r="I584" s="521">
        <v>2</v>
      </c>
      <c r="J584" s="522">
        <v>11330</v>
      </c>
      <c r="K584" s="522">
        <v>7750</v>
      </c>
      <c r="L584" s="523">
        <f ca="1">NET</f>
        <v>3580</v>
      </c>
      <c r="M584" s="222" t="str">
        <f ca="1">DL</f>
        <v>LAUT</v>
      </c>
      <c r="Q584" s="346"/>
    </row>
    <row r="585" spans="2:17" ht="15">
      <c r="B585" s="517" t="str">
        <f ca="1">SUPPAJA</f>
        <v>YANADI</v>
      </c>
      <c r="C585" s="338">
        <f ca="1">IF(COUNTIFS($B$3:B585,DATAKBA[[#This Row],[NAMA SUPP]],$E$3:E585,DATAKBA[[#This Row],[TANGGAL]])&lt;&gt;1,0,1)</f>
        <v>1</v>
      </c>
      <c r="D585" s="222">
        <f t="shared" si="48"/>
        <v>8</v>
      </c>
      <c r="E585" s="528">
        <v>43901</v>
      </c>
      <c r="F585" s="524" t="str">
        <f ca="1">DOC</f>
        <v>041</v>
      </c>
      <c r="G585" s="525" t="s">
        <v>281</v>
      </c>
      <c r="H585" s="526" t="s">
        <v>265</v>
      </c>
      <c r="I585" s="527">
        <v>1</v>
      </c>
      <c r="J585" s="522">
        <v>7420</v>
      </c>
      <c r="K585" s="522">
        <v>3850</v>
      </c>
      <c r="L585" s="523">
        <f ca="1">NET</f>
        <v>3570</v>
      </c>
      <c r="M585" s="222" t="str">
        <f ca="1">DL</f>
        <v>LAUT</v>
      </c>
      <c r="Q585" s="346"/>
    </row>
    <row r="586" spans="2:17" ht="15">
      <c r="B586" s="517" t="str">
        <f ca="1">SUPPAJA</f>
        <v>ERAWATI</v>
      </c>
      <c r="C586" s="338">
        <f ca="1">IF(COUNTIFS($B$3:B586,DATAKBA[[#This Row],[NAMA SUPP]],$E$3:E586,DATAKBA[[#This Row],[TANGGAL]])&lt;&gt;1,0,1)</f>
        <v>1</v>
      </c>
      <c r="D586" s="222">
        <f t="shared" ref="D586:D592" si="49">COUNTER_RUDI</f>
        <v>1</v>
      </c>
      <c r="E586" s="528">
        <v>43902</v>
      </c>
      <c r="F586" s="518" t="str">
        <f ca="1">DOC</f>
        <v>053</v>
      </c>
      <c r="G586" s="519" t="str">
        <f>[1]REKAP!D718</f>
        <v>ERAWATI</v>
      </c>
      <c r="H586" s="520" t="str">
        <f>[1]REKAP!E718</f>
        <v>SEI SEJUK</v>
      </c>
      <c r="I586" s="521">
        <f>[1]REKAP!F718</f>
        <v>1</v>
      </c>
      <c r="J586" s="522">
        <f>[1]REKAP!G718</f>
        <v>9480</v>
      </c>
      <c r="K586" s="522">
        <f>[1]REKAP!H718</f>
        <v>4290</v>
      </c>
      <c r="L586" s="523">
        <f ca="1">NET</f>
        <v>5190</v>
      </c>
      <c r="M586" s="222" t="str">
        <f ca="1">DL</f>
        <v>DARAT</v>
      </c>
      <c r="Q586" s="346"/>
    </row>
    <row r="587" spans="2:17" ht="15">
      <c r="B587" s="517" t="str">
        <f ca="1">SUPPAJA</f>
        <v>INDRAYANI</v>
      </c>
      <c r="C587" s="338">
        <f ca="1">IF(COUNTIFS($B$3:B587,DATAKBA[[#This Row],[NAMA SUPP]],$E$3:E587,DATAKBA[[#This Row],[TANGGAL]])&lt;&gt;1,0,1)</f>
        <v>1</v>
      </c>
      <c r="D587" s="222">
        <f t="shared" si="49"/>
        <v>2</v>
      </c>
      <c r="E587" s="528">
        <v>43902</v>
      </c>
      <c r="F587" s="518" t="str">
        <f ca="1">DOC</f>
        <v>048</v>
      </c>
      <c r="G587" s="519" t="str">
        <f>[1]REKAP!D719</f>
        <v>INDRAYANI</v>
      </c>
      <c r="H587" s="520" t="str">
        <f>[1]REKAP!E719</f>
        <v>SEI SEJUK</v>
      </c>
      <c r="I587" s="521">
        <f>[1]REKAP!F719</f>
        <v>1</v>
      </c>
      <c r="J587" s="522">
        <f>[1]REKAP!G719</f>
        <v>10430</v>
      </c>
      <c r="K587" s="522">
        <f>[1]REKAP!H719</f>
        <v>4330</v>
      </c>
      <c r="L587" s="523">
        <f ca="1">NET</f>
        <v>6100</v>
      </c>
      <c r="M587" s="222" t="str">
        <f ca="1">DL</f>
        <v>DARAT</v>
      </c>
      <c r="Q587" s="346"/>
    </row>
    <row r="588" spans="2:17" ht="15">
      <c r="B588" s="517" t="str">
        <f ca="1">SUPPAJA</f>
        <v>RUSLAN JAYA, SH</v>
      </c>
      <c r="C588" s="338">
        <f ca="1">IF(COUNTIFS($B$3:B588,DATAKBA[[#This Row],[NAMA SUPP]],$E$3:E588,DATAKBA[[#This Row],[TANGGAL]])&lt;&gt;1,0,1)</f>
        <v>1</v>
      </c>
      <c r="D588" s="222">
        <f t="shared" si="49"/>
        <v>3</v>
      </c>
      <c r="E588" s="528">
        <v>43902</v>
      </c>
      <c r="F588" s="518" t="str">
        <f ca="1">DOC</f>
        <v>041</v>
      </c>
      <c r="G588" s="519" t="str">
        <f>[1]REKAP!D720</f>
        <v>RUSLAN JAYA, SH</v>
      </c>
      <c r="H588" s="520" t="str">
        <f>[1]REKAP!E720</f>
        <v>TEMBILAHAN</v>
      </c>
      <c r="I588" s="521">
        <f>[1]REKAP!F720</f>
        <v>4</v>
      </c>
      <c r="J588" s="522">
        <f>[1]REKAP!G720</f>
        <v>48780</v>
      </c>
      <c r="K588" s="522">
        <f>[1]REKAP!H720</f>
        <v>18070</v>
      </c>
      <c r="L588" s="523">
        <f ca="1">NET</f>
        <v>30710</v>
      </c>
      <c r="M588" s="222" t="str">
        <f ca="1">DL</f>
        <v>DARAT</v>
      </c>
      <c r="Q588" s="346"/>
    </row>
    <row r="589" spans="2:17" ht="15">
      <c r="B589" s="517" t="str">
        <f ca="1">SUPPAJA</f>
        <v>YANADI</v>
      </c>
      <c r="C589" s="338">
        <f ca="1">IF(COUNTIFS($B$3:B589,DATAKBA[[#This Row],[NAMA SUPP]],$E$3:E589,DATAKBA[[#This Row],[TANGGAL]])&lt;&gt;1,0,1)</f>
        <v>1</v>
      </c>
      <c r="D589" s="222">
        <f t="shared" si="49"/>
        <v>4</v>
      </c>
      <c r="E589" s="528">
        <v>43902</v>
      </c>
      <c r="F589" s="518" t="str">
        <f ca="1">DOC</f>
        <v>042</v>
      </c>
      <c r="G589" s="519" t="str">
        <f>[1]REKAP!D721</f>
        <v>YANADI</v>
      </c>
      <c r="H589" s="520" t="str">
        <f>[1]REKAP!E721</f>
        <v>ENOK</v>
      </c>
      <c r="I589" s="521">
        <f>[1]REKAP!F721</f>
        <v>1</v>
      </c>
      <c r="J589" s="522">
        <f>[1]REKAP!G721</f>
        <v>13960</v>
      </c>
      <c r="K589" s="522">
        <f>[1]REKAP!H721</f>
        <v>4550</v>
      </c>
      <c r="L589" s="523">
        <f ca="1">NET</f>
        <v>9410</v>
      </c>
      <c r="M589" s="222" t="str">
        <f ca="1">DL</f>
        <v>DARAT</v>
      </c>
      <c r="Q589" s="346"/>
    </row>
    <row r="590" spans="2:17" ht="15">
      <c r="B590" s="517" t="str">
        <f ca="1">SUPPAJA</f>
        <v>HENDRI</v>
      </c>
      <c r="C590" s="338">
        <f ca="1">IF(COUNTIFS($B$3:B590,DATAKBA[[#This Row],[NAMA SUPP]],$E$3:E590,DATAKBA[[#This Row],[TANGGAL]])&lt;&gt;1,0,1)</f>
        <v>1</v>
      </c>
      <c r="D590" s="222">
        <f t="shared" si="49"/>
        <v>5</v>
      </c>
      <c r="E590" s="528">
        <v>43902</v>
      </c>
      <c r="F590" s="518" t="str">
        <f ca="1">DOC</f>
        <v>028</v>
      </c>
      <c r="G590" s="519" t="str">
        <f>[1]REKAP!D722</f>
        <v>HENDRI/KM.ROBI JAYA</v>
      </c>
      <c r="H590" s="520" t="str">
        <f>[1]REKAP!E722</f>
        <v>TEMBILAHAN</v>
      </c>
      <c r="I590" s="521">
        <f>[1]REKAP!F722</f>
        <v>4</v>
      </c>
      <c r="J590" s="522">
        <f>[1]REKAP!G722</f>
        <v>33140</v>
      </c>
      <c r="K590" s="522">
        <f>[1]REKAP!H722</f>
        <v>15570</v>
      </c>
      <c r="L590" s="523">
        <f ca="1">NET</f>
        <v>17570</v>
      </c>
      <c r="M590" s="222" t="str">
        <f ca="1">DL</f>
        <v>LAUT</v>
      </c>
      <c r="Q590" s="346"/>
    </row>
    <row r="591" spans="2:17" ht="15">
      <c r="B591" s="517" t="str">
        <f ca="1">SUPPAJA</f>
        <v>MARTONO</v>
      </c>
      <c r="C591" s="338">
        <f ca="1">IF(COUNTIFS($B$3:B591,DATAKBA[[#This Row],[NAMA SUPP]],$E$3:E591,DATAKBA[[#This Row],[TANGGAL]])&lt;&gt;1,0,1)</f>
        <v>1</v>
      </c>
      <c r="D591" s="222">
        <f t="shared" si="49"/>
        <v>6</v>
      </c>
      <c r="E591" s="528">
        <v>43902</v>
      </c>
      <c r="F591" s="518" t="str">
        <f ca="1">DOC</f>
        <v>044</v>
      </c>
      <c r="G591" s="519" t="str">
        <f>[1]REKAP!D723</f>
        <v>MARTONO/KM.HASLINA</v>
      </c>
      <c r="H591" s="520" t="str">
        <f>[1]REKAP!E723</f>
        <v>TBH</v>
      </c>
      <c r="I591" s="521">
        <f>[1]REKAP!F723</f>
        <v>1</v>
      </c>
      <c r="J591" s="522">
        <f>[1]REKAP!G723</f>
        <v>8580</v>
      </c>
      <c r="K591" s="522">
        <f>[1]REKAP!H723</f>
        <v>3880</v>
      </c>
      <c r="L591" s="523">
        <f ca="1">NET</f>
        <v>4700</v>
      </c>
      <c r="M591" s="222" t="str">
        <f ca="1">DL</f>
        <v>LAUT</v>
      </c>
      <c r="Q591" s="346"/>
    </row>
    <row r="592" spans="2:17" ht="15">
      <c r="B592" s="517" t="str">
        <f ca="1">SUPPAJA</f>
        <v>MARTONO</v>
      </c>
      <c r="C592" s="338">
        <f ca="1">IF(COUNTIFS($B$3:B592,DATAKBA[[#This Row],[NAMA SUPP]],$E$3:E592,DATAKBA[[#This Row],[TANGGAL]])&lt;&gt;1,0,1)</f>
        <v>0</v>
      </c>
      <c r="D592" s="222">
        <f t="shared" si="49"/>
        <v>7</v>
      </c>
      <c r="E592" s="528">
        <v>43902</v>
      </c>
      <c r="F592" s="524" t="str">
        <f ca="1">DOC</f>
        <v/>
      </c>
      <c r="G592" s="525" t="str">
        <f>[1]REKAP!D724</f>
        <v>MARTONO/KM.RUPI</v>
      </c>
      <c r="H592" s="526" t="str">
        <f>[1]REKAP!E724</f>
        <v>TBH</v>
      </c>
      <c r="I592" s="527">
        <f>[1]REKAP!F724</f>
        <v>1</v>
      </c>
      <c r="J592" s="522">
        <f>[1]REKAP!G724</f>
        <v>6840</v>
      </c>
      <c r="K592" s="522">
        <f>[1]REKAP!H724</f>
        <v>3890</v>
      </c>
      <c r="L592" s="523">
        <f ca="1">NET</f>
        <v>2950</v>
      </c>
      <c r="M592" s="222" t="str">
        <f ca="1">DL</f>
        <v>LAUT</v>
      </c>
      <c r="Q592" s="346"/>
    </row>
    <row r="593" spans="2:17" ht="15">
      <c r="B593" s="517" t="str">
        <f ca="1">SUPPAJA</f>
        <v>ERAWATI</v>
      </c>
      <c r="C593" s="338">
        <f ca="1">IF(COUNTIFS($B$3:B593,DATAKBA[[#This Row],[NAMA SUPP]],$E$3:E593,DATAKBA[[#This Row],[TANGGAL]])&lt;&gt;1,0,1)</f>
        <v>1</v>
      </c>
      <c r="D593" s="222">
        <f t="shared" ref="D593:D599" si="50">COUNTER_RUDI</f>
        <v>1</v>
      </c>
      <c r="E593" s="528">
        <v>43903</v>
      </c>
      <c r="F593" s="518" t="str">
        <f ca="1">DOC</f>
        <v>054</v>
      </c>
      <c r="G593" s="519" t="s">
        <v>220</v>
      </c>
      <c r="H593" s="520" t="str">
        <f>'[2]13'!D14</f>
        <v>SEI SEJUK</v>
      </c>
      <c r="I593" s="521">
        <f>'[2]13'!E14</f>
        <v>3</v>
      </c>
      <c r="J593" s="522">
        <f>'[2]13'!F14</f>
        <v>31970</v>
      </c>
      <c r="K593" s="522">
        <f>'[2]13'!G14</f>
        <v>16340</v>
      </c>
      <c r="L593" s="523">
        <f ca="1">NET</f>
        <v>15630</v>
      </c>
      <c r="M593" s="222" t="str">
        <f ca="1">DL</f>
        <v>DARAT</v>
      </c>
      <c r="Q593" s="346"/>
    </row>
    <row r="594" spans="2:17" ht="15">
      <c r="B594" s="517" t="str">
        <f ca="1">SUPPAJA</f>
        <v>RUSLAN JAYA, SH</v>
      </c>
      <c r="C594" s="338">
        <f ca="1">IF(COUNTIFS($B$3:B594,DATAKBA[[#This Row],[NAMA SUPP]],$E$3:E594,DATAKBA[[#This Row],[TANGGAL]])&lt;&gt;1,0,1)</f>
        <v>1</v>
      </c>
      <c r="D594" s="222">
        <f t="shared" si="50"/>
        <v>2</v>
      </c>
      <c r="E594" s="528">
        <v>43903</v>
      </c>
      <c r="F594" s="524" t="str">
        <f ca="1">DOC</f>
        <v>042</v>
      </c>
      <c r="G594" s="519" t="s">
        <v>230</v>
      </c>
      <c r="H594" s="526" t="str">
        <f>'[2]13'!D15</f>
        <v>TEMBILAHAN</v>
      </c>
      <c r="I594" s="527">
        <f>'[2]13'!E15</f>
        <v>2</v>
      </c>
      <c r="J594" s="522">
        <f>'[2]13'!F15</f>
        <v>8260</v>
      </c>
      <c r="K594" s="522">
        <f>'[2]13'!G15</f>
        <v>3200</v>
      </c>
      <c r="L594" s="523">
        <f ca="1">NET</f>
        <v>5060</v>
      </c>
      <c r="M594" s="222" t="str">
        <f ca="1">DL</f>
        <v>DARAT</v>
      </c>
      <c r="Q594" s="346"/>
    </row>
    <row r="595" spans="2:17" ht="15">
      <c r="B595" s="517" t="str">
        <f ca="1">SUPPAJA</f>
        <v>DINI CHAIRANI</v>
      </c>
      <c r="C595" s="338">
        <f ca="1">IF(COUNTIFS($B$3:B595,DATAKBA[[#This Row],[NAMA SUPP]],$E$3:E595,DATAKBA[[#This Row],[TANGGAL]])&lt;&gt;1,0,1)</f>
        <v>1</v>
      </c>
      <c r="D595" s="222">
        <f t="shared" si="50"/>
        <v>3</v>
      </c>
      <c r="E595" s="528">
        <v>43903</v>
      </c>
      <c r="F595" s="518" t="str">
        <f ca="1">DOC</f>
        <v>040</v>
      </c>
      <c r="G595" s="519" t="s">
        <v>371</v>
      </c>
      <c r="H595" s="520" t="s">
        <v>268</v>
      </c>
      <c r="I595" s="521">
        <v>2</v>
      </c>
      <c r="J595" s="522">
        <v>14720</v>
      </c>
      <c r="K595" s="522">
        <v>7770</v>
      </c>
      <c r="L595" s="523">
        <f ca="1">NET</f>
        <v>6950</v>
      </c>
      <c r="M595" s="222" t="str">
        <f ca="1">DL</f>
        <v>LAUT</v>
      </c>
      <c r="Q595" s="346"/>
    </row>
    <row r="596" spans="2:17" ht="15">
      <c r="B596" s="517" t="str">
        <f ca="1">SUPPAJA</f>
        <v>MARTONO</v>
      </c>
      <c r="C596" s="338">
        <f ca="1">IF(COUNTIFS($B$3:B596,DATAKBA[[#This Row],[NAMA SUPP]],$E$3:E596,DATAKBA[[#This Row],[TANGGAL]])&lt;&gt;1,0,1)</f>
        <v>1</v>
      </c>
      <c r="D596" s="222">
        <f t="shared" si="50"/>
        <v>4</v>
      </c>
      <c r="E596" s="528">
        <v>43903</v>
      </c>
      <c r="F596" s="518" t="str">
        <f ca="1">DOC</f>
        <v>045</v>
      </c>
      <c r="G596" s="519" t="s">
        <v>435</v>
      </c>
      <c r="H596" s="520" t="s">
        <v>257</v>
      </c>
      <c r="I596" s="521">
        <v>1</v>
      </c>
      <c r="J596" s="522">
        <v>8610</v>
      </c>
      <c r="K596" s="522">
        <v>3870</v>
      </c>
      <c r="L596" s="523">
        <f ca="1">NET</f>
        <v>4740</v>
      </c>
      <c r="M596" s="222" t="str">
        <f ca="1">DL</f>
        <v>LAUT</v>
      </c>
      <c r="Q596" s="346"/>
    </row>
    <row r="597" spans="2:17" ht="15">
      <c r="B597" s="517" t="str">
        <f ca="1">SUPPAJA</f>
        <v>MARTONO</v>
      </c>
      <c r="C597" s="338">
        <f ca="1">IF(COUNTIFS($B$3:B597,DATAKBA[[#This Row],[NAMA SUPP]],$E$3:E597,DATAKBA[[#This Row],[TANGGAL]])&lt;&gt;1,0,1)</f>
        <v>0</v>
      </c>
      <c r="D597" s="222">
        <f t="shared" si="50"/>
        <v>5</v>
      </c>
      <c r="E597" s="528">
        <v>43903</v>
      </c>
      <c r="F597" s="518" t="str">
        <f ca="1">DOC</f>
        <v/>
      </c>
      <c r="G597" s="519" t="s">
        <v>278</v>
      </c>
      <c r="H597" s="520" t="s">
        <v>257</v>
      </c>
      <c r="I597" s="521">
        <v>1</v>
      </c>
      <c r="J597" s="522">
        <v>5300</v>
      </c>
      <c r="K597" s="522">
        <v>3840</v>
      </c>
      <c r="L597" s="523">
        <f ca="1">NET</f>
        <v>1460</v>
      </c>
      <c r="M597" s="222" t="str">
        <f ca="1">DL</f>
        <v>LAUT</v>
      </c>
      <c r="Q597" s="346"/>
    </row>
    <row r="598" spans="2:17" ht="15">
      <c r="B598" s="517" t="str">
        <f ca="1">SUPPAJA</f>
        <v>MARTONO</v>
      </c>
      <c r="C598" s="338">
        <f ca="1">IF(COUNTIFS($B$3:B598,DATAKBA[[#This Row],[NAMA SUPP]],$E$3:E598,DATAKBA[[#This Row],[TANGGAL]])&lt;&gt;1,0,1)</f>
        <v>0</v>
      </c>
      <c r="D598" s="222">
        <f t="shared" si="50"/>
        <v>6</v>
      </c>
      <c r="E598" s="528">
        <v>43903</v>
      </c>
      <c r="F598" s="518" t="str">
        <f ca="1">DOC</f>
        <v/>
      </c>
      <c r="G598" s="519" t="s">
        <v>258</v>
      </c>
      <c r="H598" s="520" t="s">
        <v>257</v>
      </c>
      <c r="I598" s="521">
        <v>1</v>
      </c>
      <c r="J598" s="522">
        <v>6380</v>
      </c>
      <c r="K598" s="522">
        <v>3880</v>
      </c>
      <c r="L598" s="523">
        <f ca="1">NET</f>
        <v>2500</v>
      </c>
      <c r="M598" s="222" t="str">
        <f ca="1">DL</f>
        <v>LAUT</v>
      </c>
      <c r="Q598" s="346"/>
    </row>
    <row r="599" spans="2:17" ht="15">
      <c r="B599" s="517" t="str">
        <f ca="1">SUPPAJA</f>
        <v>MASRI</v>
      </c>
      <c r="C599" s="338">
        <f ca="1">IF(COUNTIFS($B$3:B599,DATAKBA[[#This Row],[NAMA SUPP]],$E$3:E599,DATAKBA[[#This Row],[TANGGAL]])&lt;&gt;1,0,1)</f>
        <v>1</v>
      </c>
      <c r="D599" s="222">
        <f t="shared" si="50"/>
        <v>7</v>
      </c>
      <c r="E599" s="528">
        <v>43903</v>
      </c>
      <c r="F599" s="524" t="str">
        <f ca="1">DOC</f>
        <v>028</v>
      </c>
      <c r="G599" s="525" t="s">
        <v>333</v>
      </c>
      <c r="H599" s="526" t="s">
        <v>260</v>
      </c>
      <c r="I599" s="527">
        <v>23</v>
      </c>
      <c r="J599" s="522">
        <v>198720</v>
      </c>
      <c r="K599" s="522">
        <v>88980</v>
      </c>
      <c r="L599" s="523">
        <f ca="1">NET</f>
        <v>109740</v>
      </c>
      <c r="M599" s="222" t="str">
        <f ca="1">DL</f>
        <v>LAUT</v>
      </c>
      <c r="Q599" s="346"/>
    </row>
    <row r="600" spans="2:17" ht="15">
      <c r="B600" s="517" t="str">
        <f ca="1">SUPPAJA</f>
        <v>ERAWATI</v>
      </c>
      <c r="C600" s="338">
        <f ca="1">IF(COUNTIFS($B$3:B600,DATAKBA[[#This Row],[NAMA SUPP]],$E$3:E600,DATAKBA[[#This Row],[TANGGAL]])&lt;&gt;1,0,1)</f>
        <v>1</v>
      </c>
      <c r="D600" s="222">
        <f t="shared" ref="D600:D612" si="51">COUNTER_RUDI</f>
        <v>1</v>
      </c>
      <c r="E600" s="528">
        <v>43904</v>
      </c>
      <c r="F600" s="518" t="str">
        <f ca="1">DOC</f>
        <v>055</v>
      </c>
      <c r="G600" s="519" t="s">
        <v>220</v>
      </c>
      <c r="H600" s="520" t="s">
        <v>253</v>
      </c>
      <c r="I600" s="521">
        <v>4</v>
      </c>
      <c r="J600" s="522">
        <v>45230</v>
      </c>
      <c r="K600" s="522">
        <v>17710</v>
      </c>
      <c r="L600" s="523">
        <f ca="1">NET</f>
        <v>27520</v>
      </c>
      <c r="M600" s="222" t="str">
        <f ca="1">DL</f>
        <v>DARAT</v>
      </c>
      <c r="Q600" s="346"/>
    </row>
    <row r="601" spans="2:17" ht="15">
      <c r="B601" s="517" t="str">
        <f ca="1">SUPPAJA</f>
        <v>INDRAYANI</v>
      </c>
      <c r="C601" s="338">
        <f ca="1">IF(COUNTIFS($B$3:B601,DATAKBA[[#This Row],[NAMA SUPP]],$E$3:E601,DATAKBA[[#This Row],[TANGGAL]])&lt;&gt;1,0,1)</f>
        <v>1</v>
      </c>
      <c r="D601" s="222">
        <f t="shared" si="51"/>
        <v>2</v>
      </c>
      <c r="E601" s="528">
        <v>43904</v>
      </c>
      <c r="F601" s="518" t="str">
        <f ca="1">DOC</f>
        <v>049</v>
      </c>
      <c r="G601" s="519" t="s">
        <v>99</v>
      </c>
      <c r="H601" s="520" t="s">
        <v>253</v>
      </c>
      <c r="I601" s="521">
        <v>1</v>
      </c>
      <c r="J601" s="522">
        <v>9670</v>
      </c>
      <c r="K601" s="522">
        <v>4470</v>
      </c>
      <c r="L601" s="523">
        <f ca="1">NET</f>
        <v>5200</v>
      </c>
      <c r="M601" s="222" t="str">
        <f ca="1">DL</f>
        <v>DARAT</v>
      </c>
      <c r="Q601" s="346"/>
    </row>
    <row r="602" spans="2:17" ht="15">
      <c r="B602" s="517" t="str">
        <f ca="1">SUPPAJA</f>
        <v>RUSLAN JAYA, SH</v>
      </c>
      <c r="C602" s="338">
        <f ca="1">IF(COUNTIFS($B$3:B602,DATAKBA[[#This Row],[NAMA SUPP]],$E$3:E602,DATAKBA[[#This Row],[TANGGAL]])&lt;&gt;1,0,1)</f>
        <v>1</v>
      </c>
      <c r="D602" s="222">
        <f t="shared" si="51"/>
        <v>3</v>
      </c>
      <c r="E602" s="528">
        <v>43904</v>
      </c>
      <c r="F602" s="518" t="str">
        <f ca="1">DOC</f>
        <v>043</v>
      </c>
      <c r="G602" s="519" t="s">
        <v>230</v>
      </c>
      <c r="H602" s="520" t="s">
        <v>255</v>
      </c>
      <c r="I602" s="521">
        <v>9</v>
      </c>
      <c r="J602" s="522">
        <v>77720</v>
      </c>
      <c r="K602" s="522">
        <v>28450</v>
      </c>
      <c r="L602" s="523">
        <f ca="1">NET</f>
        <v>49270</v>
      </c>
      <c r="M602" s="222" t="str">
        <f ca="1">DL</f>
        <v>DARAT</v>
      </c>
      <c r="Q602" s="346"/>
    </row>
    <row r="603" spans="2:17" ht="15">
      <c r="B603" s="517" t="str">
        <f ca="1">SUPPAJA</f>
        <v>MARTONO</v>
      </c>
      <c r="C603" s="338">
        <f ca="1">IF(COUNTIFS($B$3:B603,DATAKBA[[#This Row],[NAMA SUPP]],$E$3:E603,DATAKBA[[#This Row],[TANGGAL]])&lt;&gt;1,0,1)</f>
        <v>1</v>
      </c>
      <c r="D603" s="222">
        <f t="shared" si="51"/>
        <v>4</v>
      </c>
      <c r="E603" s="528">
        <v>43904</v>
      </c>
      <c r="F603" s="524" t="str">
        <f ca="1">DOC</f>
        <v>046</v>
      </c>
      <c r="G603" s="525" t="s">
        <v>258</v>
      </c>
      <c r="H603" s="526" t="s">
        <v>257</v>
      </c>
      <c r="I603" s="527">
        <v>1</v>
      </c>
      <c r="J603" s="522">
        <v>7310</v>
      </c>
      <c r="K603" s="522">
        <v>3880</v>
      </c>
      <c r="L603" s="523">
        <f ca="1">NET</f>
        <v>3430</v>
      </c>
      <c r="M603" s="222" t="str">
        <f ca="1">DL</f>
        <v>LAUT</v>
      </c>
      <c r="Q603" s="346"/>
    </row>
    <row r="604" spans="2:17" ht="15">
      <c r="B604" s="517" t="str">
        <f ca="1">SUPPAJA</f>
        <v>ERAWATI</v>
      </c>
      <c r="C604" s="338">
        <f ca="1">IF(COUNTIFS($B$3:B604,DATAKBA[[#This Row],[NAMA SUPP]],$E$3:E604,DATAKBA[[#This Row],[TANGGAL]])&lt;&gt;1,0,1)</f>
        <v>1</v>
      </c>
      <c r="D604" s="222">
        <f t="shared" si="51"/>
        <v>1</v>
      </c>
      <c r="E604" s="528">
        <v>43906</v>
      </c>
      <c r="F604" s="518" t="str">
        <f ca="1">DOC</f>
        <v>056</v>
      </c>
      <c r="G604" s="519" t="s">
        <v>220</v>
      </c>
      <c r="H604" s="520" t="s">
        <v>253</v>
      </c>
      <c r="I604" s="521">
        <v>3</v>
      </c>
      <c r="J604" s="522">
        <v>27000</v>
      </c>
      <c r="K604" s="522">
        <v>10300</v>
      </c>
      <c r="L604" s="523">
        <f ca="1">NET</f>
        <v>16700</v>
      </c>
      <c r="M604" s="222" t="str">
        <f ca="1">DL</f>
        <v>DARAT</v>
      </c>
      <c r="Q604" s="346"/>
    </row>
    <row r="605" spans="2:17" ht="15">
      <c r="B605" s="517" t="str">
        <f ca="1">SUPPAJA</f>
        <v>INDRAYANI</v>
      </c>
      <c r="C605" s="338">
        <f ca="1">IF(COUNTIFS($B$3:B605,DATAKBA[[#This Row],[NAMA SUPP]],$E$3:E605,DATAKBA[[#This Row],[TANGGAL]])&lt;&gt;1,0,1)</f>
        <v>1</v>
      </c>
      <c r="D605" s="222">
        <f t="shared" si="51"/>
        <v>2</v>
      </c>
      <c r="E605" s="528">
        <v>43906</v>
      </c>
      <c r="F605" s="518" t="str">
        <f ca="1">DOC</f>
        <v>050</v>
      </c>
      <c r="G605" s="519" t="s">
        <v>99</v>
      </c>
      <c r="H605" s="520" t="s">
        <v>253</v>
      </c>
      <c r="I605" s="521">
        <v>1</v>
      </c>
      <c r="J605" s="522">
        <v>10270</v>
      </c>
      <c r="K605" s="522">
        <v>4500</v>
      </c>
      <c r="L605" s="523">
        <f ca="1">NET</f>
        <v>5770</v>
      </c>
      <c r="M605" s="222" t="str">
        <f ca="1">DL</f>
        <v>DARAT</v>
      </c>
      <c r="Q605" s="346"/>
    </row>
    <row r="606" spans="2:17" ht="15">
      <c r="B606" s="517" t="str">
        <f ca="1">SUPPAJA</f>
        <v>RUSLAN JAYA, SH</v>
      </c>
      <c r="C606" s="338">
        <f ca="1">IF(COUNTIFS($B$3:B606,DATAKBA[[#This Row],[NAMA SUPP]],$E$3:E606,DATAKBA[[#This Row],[TANGGAL]])&lt;&gt;1,0,1)</f>
        <v>1</v>
      </c>
      <c r="D606" s="222">
        <f t="shared" si="51"/>
        <v>3</v>
      </c>
      <c r="E606" s="528">
        <v>43906</v>
      </c>
      <c r="F606" s="518" t="str">
        <f ca="1">DOC</f>
        <v>044</v>
      </c>
      <c r="G606" s="519" t="s">
        <v>230</v>
      </c>
      <c r="H606" s="520" t="s">
        <v>255</v>
      </c>
      <c r="I606" s="521">
        <v>7</v>
      </c>
      <c r="J606" s="522">
        <v>60780</v>
      </c>
      <c r="K606" s="522">
        <v>22710</v>
      </c>
      <c r="L606" s="523">
        <f ca="1">NET</f>
        <v>38070</v>
      </c>
      <c r="M606" s="222" t="str">
        <f ca="1">DL</f>
        <v>DARAT</v>
      </c>
      <c r="Q606" s="346"/>
    </row>
    <row r="607" spans="2:17" ht="15">
      <c r="B607" s="517" t="str">
        <f ca="1">SUPPAJA</f>
        <v>YANADI</v>
      </c>
      <c r="C607" s="338">
        <f ca="1">IF(COUNTIFS($B$3:B607,DATAKBA[[#This Row],[NAMA SUPP]],$E$3:E607,DATAKBA[[#This Row],[TANGGAL]])&lt;&gt;1,0,1)</f>
        <v>1</v>
      </c>
      <c r="D607" s="222">
        <f t="shared" si="51"/>
        <v>4</v>
      </c>
      <c r="E607" s="528">
        <v>43906</v>
      </c>
      <c r="F607" s="524" t="str">
        <f ca="1">DOC</f>
        <v>043</v>
      </c>
      <c r="G607" s="525" t="s">
        <v>137</v>
      </c>
      <c r="H607" s="526" t="s">
        <v>265</v>
      </c>
      <c r="I607" s="527">
        <v>2</v>
      </c>
      <c r="J607" s="522">
        <v>17920</v>
      </c>
      <c r="K607" s="522">
        <v>6230</v>
      </c>
      <c r="L607" s="523">
        <f ca="1">NET</f>
        <v>11690</v>
      </c>
      <c r="M607" s="222" t="str">
        <f ca="1">DL</f>
        <v>DARAT</v>
      </c>
      <c r="Q607" s="346"/>
    </row>
    <row r="608" spans="2:17" ht="15">
      <c r="B608" s="517" t="str">
        <f ca="1">SUPPAJA</f>
        <v>MARTONO</v>
      </c>
      <c r="C608" s="338">
        <f ca="1">IF(COUNTIFS($B$3:B608,DATAKBA[[#This Row],[NAMA SUPP]],$E$3:E608,DATAKBA[[#This Row],[TANGGAL]])&lt;&gt;1,0,1)</f>
        <v>1</v>
      </c>
      <c r="D608" s="222">
        <f t="shared" si="51"/>
        <v>5</v>
      </c>
      <c r="E608" s="528">
        <v>43906</v>
      </c>
      <c r="F608" s="518" t="str">
        <f ca="1">DOC</f>
        <v>047</v>
      </c>
      <c r="G608" s="519" t="s">
        <v>437</v>
      </c>
      <c r="H608" s="520" t="s">
        <v>257</v>
      </c>
      <c r="I608" s="521">
        <v>1</v>
      </c>
      <c r="J608" s="522">
        <v>5280</v>
      </c>
      <c r="K608" s="522">
        <v>3950</v>
      </c>
      <c r="L608" s="523">
        <f ca="1">NET</f>
        <v>1330</v>
      </c>
      <c r="M608" s="222" t="str">
        <f ca="1">DL</f>
        <v>LAUT</v>
      </c>
      <c r="Q608" s="346"/>
    </row>
    <row r="609" spans="2:17" ht="15">
      <c r="B609" s="517" t="str">
        <f ca="1">SUPPAJA</f>
        <v>MARTONO</v>
      </c>
      <c r="C609" s="338">
        <f ca="1">IF(COUNTIFS($B$3:B609,DATAKBA[[#This Row],[NAMA SUPP]],$E$3:E609,DATAKBA[[#This Row],[TANGGAL]])&lt;&gt;1,0,1)</f>
        <v>0</v>
      </c>
      <c r="D609" s="222">
        <f t="shared" si="51"/>
        <v>6</v>
      </c>
      <c r="E609" s="528">
        <v>43906</v>
      </c>
      <c r="F609" s="518" t="str">
        <f ca="1">DOC</f>
        <v/>
      </c>
      <c r="G609" s="519" t="s">
        <v>258</v>
      </c>
      <c r="H609" s="520" t="s">
        <v>257</v>
      </c>
      <c r="I609" s="521">
        <v>1</v>
      </c>
      <c r="J609" s="522">
        <v>7160</v>
      </c>
      <c r="K609" s="522">
        <v>3800</v>
      </c>
      <c r="L609" s="523">
        <f ca="1">NET</f>
        <v>3360</v>
      </c>
      <c r="M609" s="222" t="str">
        <f ca="1">DL</f>
        <v>LAUT</v>
      </c>
      <c r="Q609" s="346"/>
    </row>
    <row r="610" spans="2:17" ht="15">
      <c r="B610" s="517" t="str">
        <f ca="1">SUPPAJA</f>
        <v>SUKAMTO</v>
      </c>
      <c r="C610" s="338">
        <f ca="1">IF(COUNTIFS($B$3:B610,DATAKBA[[#This Row],[NAMA SUPP]],$E$3:E610,DATAKBA[[#This Row],[TANGGAL]])&lt;&gt;1,0,1)</f>
        <v>1</v>
      </c>
      <c r="D610" s="222">
        <f t="shared" si="51"/>
        <v>7</v>
      </c>
      <c r="E610" s="528">
        <v>43906</v>
      </c>
      <c r="F610" s="518" t="str">
        <f ca="1">DOC</f>
        <v>016</v>
      </c>
      <c r="G610" s="519" t="s">
        <v>438</v>
      </c>
      <c r="H610" s="520" t="s">
        <v>275</v>
      </c>
      <c r="I610" s="521">
        <v>1</v>
      </c>
      <c r="J610" s="522">
        <v>9290</v>
      </c>
      <c r="K610" s="522">
        <v>4000</v>
      </c>
      <c r="L610" s="523">
        <f ca="1">NET</f>
        <v>5290</v>
      </c>
      <c r="M610" s="222" t="str">
        <f ca="1">DL</f>
        <v>LAUT</v>
      </c>
      <c r="Q610" s="346"/>
    </row>
    <row r="611" spans="2:17" ht="15">
      <c r="B611" s="517" t="str">
        <f ca="1">SUPPAJA</f>
        <v>MARTONO</v>
      </c>
      <c r="C611" s="338">
        <f ca="1">IF(COUNTIFS($B$3:B611,DATAKBA[[#This Row],[NAMA SUPP]],$E$3:E611,DATAKBA[[#This Row],[TANGGAL]])&lt;&gt;1,0,1)</f>
        <v>0</v>
      </c>
      <c r="D611" s="222">
        <f t="shared" si="51"/>
        <v>8</v>
      </c>
      <c r="E611" s="528">
        <v>43906</v>
      </c>
      <c r="F611" s="518" t="str">
        <f ca="1">DOC</f>
        <v>047</v>
      </c>
      <c r="G611" s="519" t="s">
        <v>256</v>
      </c>
      <c r="H611" s="520" t="s">
        <v>257</v>
      </c>
      <c r="I611" s="521">
        <v>2</v>
      </c>
      <c r="J611" s="522">
        <v>15120</v>
      </c>
      <c r="K611" s="522">
        <v>7760</v>
      </c>
      <c r="L611" s="523">
        <f ca="1">NET</f>
        <v>7360</v>
      </c>
      <c r="M611" s="222" t="str">
        <f ca="1">DL</f>
        <v>LAUT</v>
      </c>
      <c r="Q611" s="346"/>
    </row>
    <row r="612" spans="2:17" ht="15">
      <c r="B612" s="517" t="str">
        <f ca="1">SUPPAJA</f>
        <v>SUKAMTO</v>
      </c>
      <c r="C612" s="338">
        <f ca="1">IF(COUNTIFS($B$3:B612,DATAKBA[[#This Row],[NAMA SUPP]],$E$3:E612,DATAKBA[[#This Row],[TANGGAL]])&lt;&gt;1,0,1)</f>
        <v>0</v>
      </c>
      <c r="D612" s="222">
        <f t="shared" si="51"/>
        <v>9</v>
      </c>
      <c r="E612" s="528">
        <v>43906</v>
      </c>
      <c r="F612" s="524" t="str">
        <f ca="1">DOC</f>
        <v>016</v>
      </c>
      <c r="G612" s="525" t="s">
        <v>395</v>
      </c>
      <c r="H612" s="526" t="s">
        <v>275</v>
      </c>
      <c r="I612" s="527">
        <v>1</v>
      </c>
      <c r="J612" s="522">
        <v>8220</v>
      </c>
      <c r="K612" s="522">
        <v>3950</v>
      </c>
      <c r="L612" s="523">
        <f ca="1">NET</f>
        <v>4270</v>
      </c>
      <c r="M612" s="222" t="str">
        <f ca="1">DL</f>
        <v>LAUT</v>
      </c>
      <c r="Q612" s="346"/>
    </row>
    <row r="613" spans="2:17" ht="15">
      <c r="B613" s="517" t="str">
        <f ca="1">SUPPAJA</f>
        <v>ERAWATI</v>
      </c>
      <c r="C613" s="338">
        <f ca="1">IF(COUNTIFS($B$3:B613,DATAKBA[[#This Row],[NAMA SUPP]],$E$3:E613,DATAKBA[[#This Row],[TANGGAL]])&lt;&gt;1,0,1)</f>
        <v>1</v>
      </c>
      <c r="D613" s="222">
        <f t="shared" ref="D613:D623" si="52">COUNTER_RUDI</f>
        <v>1</v>
      </c>
      <c r="E613" s="528">
        <v>43907</v>
      </c>
      <c r="F613" s="518" t="str">
        <f ca="1">DOC</f>
        <v>057</v>
      </c>
      <c r="G613" s="519" t="str">
        <f>[3]REKAP!D1052</f>
        <v>ERAWATI</v>
      </c>
      <c r="H613" s="520" t="str">
        <f>[3]REKAP!E1052</f>
        <v>SEI SEJUK</v>
      </c>
      <c r="I613" s="521">
        <f>[3]REKAP!F1052</f>
        <v>1</v>
      </c>
      <c r="J613" s="522">
        <f>[3]REKAP!G1052</f>
        <v>10510</v>
      </c>
      <c r="K613" s="522">
        <f>[3]REKAP!H1052</f>
        <v>4450</v>
      </c>
      <c r="L613" s="523">
        <f ca="1">NET</f>
        <v>6060</v>
      </c>
      <c r="M613" s="222" t="str">
        <f ca="1">DL</f>
        <v>DARAT</v>
      </c>
      <c r="Q613" s="346"/>
    </row>
    <row r="614" spans="2:17" ht="15">
      <c r="B614" s="517" t="str">
        <f ca="1">SUPPAJA</f>
        <v>INDRAYANI</v>
      </c>
      <c r="C614" s="338">
        <f ca="1">IF(COUNTIFS($B$3:B614,DATAKBA[[#This Row],[NAMA SUPP]],$E$3:E614,DATAKBA[[#This Row],[TANGGAL]])&lt;&gt;1,0,1)</f>
        <v>1</v>
      </c>
      <c r="D614" s="222">
        <f t="shared" si="52"/>
        <v>2</v>
      </c>
      <c r="E614" s="528">
        <v>43907</v>
      </c>
      <c r="F614" s="518" t="str">
        <f ca="1">DOC</f>
        <v>051</v>
      </c>
      <c r="G614" s="519" t="str">
        <f>[3]REKAP!D1053</f>
        <v>INDRAYANI</v>
      </c>
      <c r="H614" s="520" t="str">
        <f>[3]REKAP!E1053</f>
        <v>SEI SEJUK</v>
      </c>
      <c r="I614" s="521">
        <f>[3]REKAP!F1053</f>
        <v>1</v>
      </c>
      <c r="J614" s="522">
        <f>[3]REKAP!G1053</f>
        <v>9460</v>
      </c>
      <c r="K614" s="522">
        <f>[3]REKAP!H1053</f>
        <v>4440</v>
      </c>
      <c r="L614" s="523">
        <f ca="1">NET</f>
        <v>5020</v>
      </c>
      <c r="M614" s="222" t="str">
        <f ca="1">DL</f>
        <v>DARAT</v>
      </c>
      <c r="Q614" s="346"/>
    </row>
    <row r="615" spans="2:17" ht="15">
      <c r="B615" s="517" t="str">
        <f ca="1">SUPPAJA</f>
        <v>YANADI</v>
      </c>
      <c r="C615" s="338">
        <f ca="1">IF(COUNTIFS($B$3:B615,DATAKBA[[#This Row],[NAMA SUPP]],$E$3:E615,DATAKBA[[#This Row],[TANGGAL]])&lt;&gt;1,0,1)</f>
        <v>1</v>
      </c>
      <c r="D615" s="222">
        <f t="shared" si="52"/>
        <v>3</v>
      </c>
      <c r="E615" s="528">
        <v>43907</v>
      </c>
      <c r="F615" s="518" t="str">
        <f ca="1">DOC</f>
        <v>044</v>
      </c>
      <c r="G615" s="519" t="str">
        <f>[3]REKAP!D1054</f>
        <v>YANADI</v>
      </c>
      <c r="H615" s="520" t="str">
        <f>[3]REKAP!E1054</f>
        <v>ENOK</v>
      </c>
      <c r="I615" s="521">
        <f>[3]REKAP!F1054</f>
        <v>2</v>
      </c>
      <c r="J615" s="522">
        <f>[3]REKAP!G1054</f>
        <v>14800</v>
      </c>
      <c r="K615" s="522">
        <f>[3]REKAP!H1054</f>
        <v>6160</v>
      </c>
      <c r="L615" s="523">
        <f ca="1">NET</f>
        <v>8640</v>
      </c>
      <c r="M615" s="222" t="str">
        <f ca="1">DL</f>
        <v>DARAT</v>
      </c>
      <c r="Q615" s="346"/>
    </row>
    <row r="616" spans="2:17" ht="15">
      <c r="B616" s="517" t="str">
        <f ca="1">SUPPAJA</f>
        <v>MARTONO</v>
      </c>
      <c r="C616" s="338">
        <f ca="1">IF(COUNTIFS($B$3:B616,DATAKBA[[#This Row],[NAMA SUPP]],$E$3:E616,DATAKBA[[#This Row],[TANGGAL]])&lt;&gt;1,0,1)</f>
        <v>1</v>
      </c>
      <c r="D616" s="222">
        <f t="shared" si="52"/>
        <v>4</v>
      </c>
      <c r="E616" s="528">
        <v>43907</v>
      </c>
      <c r="F616" s="524" t="str">
        <f ca="1">DOC</f>
        <v>048</v>
      </c>
      <c r="G616" s="525" t="str">
        <f>[3]REKAP!D1055</f>
        <v>MARTONO/KM.WASI</v>
      </c>
      <c r="H616" s="526" t="str">
        <f>[3]REKAP!E1055</f>
        <v>TBH</v>
      </c>
      <c r="I616" s="527">
        <f>[3]REKAP!F1055</f>
        <v>1</v>
      </c>
      <c r="J616" s="522">
        <f>[3]REKAP!G1055</f>
        <v>6820</v>
      </c>
      <c r="K616" s="522">
        <f>[3]REKAP!H1055</f>
        <v>3800</v>
      </c>
      <c r="L616" s="523">
        <f ca="1">NET</f>
        <v>3020</v>
      </c>
      <c r="M616" s="222" t="str">
        <f ca="1">DL</f>
        <v>LAUT</v>
      </c>
      <c r="Q616" s="346"/>
    </row>
    <row r="617" spans="2:17" ht="15">
      <c r="B617" s="517" t="str">
        <f ca="1">SUPPAJA</f>
        <v>ERAWATI</v>
      </c>
      <c r="C617" s="338">
        <f ca="1">IF(COUNTIFS($B$3:B617,DATAKBA[[#This Row],[NAMA SUPP]],$E$3:E617,DATAKBA[[#This Row],[TANGGAL]])&lt;&gt;1,0,1)</f>
        <v>1</v>
      </c>
      <c r="D617" s="222">
        <f t="shared" si="52"/>
        <v>1</v>
      </c>
      <c r="E617" s="528">
        <v>43908</v>
      </c>
      <c r="F617" s="518" t="str">
        <f ca="1">DOC</f>
        <v>058</v>
      </c>
      <c r="G617" s="519" t="str">
        <f>[3]REKAP!D1112</f>
        <v>ERAWATI</v>
      </c>
      <c r="H617" s="520" t="str">
        <f>[3]REKAP!E1112</f>
        <v>SEI SEJUK</v>
      </c>
      <c r="I617" s="521">
        <f>[3]REKAP!F1112</f>
        <v>2</v>
      </c>
      <c r="J617" s="522">
        <f>[3]REKAP!G1112</f>
        <v>14700</v>
      </c>
      <c r="K617" s="522">
        <f>[3]REKAP!H1112</f>
        <v>5620</v>
      </c>
      <c r="L617" s="523">
        <f ca="1">NET</f>
        <v>9080</v>
      </c>
      <c r="M617" s="222" t="str">
        <f ca="1">DL</f>
        <v>DARAT</v>
      </c>
      <c r="Q617" s="346"/>
    </row>
    <row r="618" spans="2:17" ht="15">
      <c r="B618" s="517" t="str">
        <f ca="1">SUPPAJA</f>
        <v>ERAWATI</v>
      </c>
      <c r="C618" s="338">
        <f ca="1">IF(COUNTIFS($B$3:B618,DATAKBA[[#This Row],[NAMA SUPP]],$E$3:E618,DATAKBA[[#This Row],[TANGGAL]])&lt;&gt;1,0,1)</f>
        <v>0</v>
      </c>
      <c r="D618" s="222">
        <f t="shared" si="52"/>
        <v>2</v>
      </c>
      <c r="E618" s="528">
        <v>43908</v>
      </c>
      <c r="F618" s="518" t="str">
        <f ca="1">DOC</f>
        <v/>
      </c>
      <c r="G618" s="519" t="str">
        <f>[3]REKAP!D1113</f>
        <v>ERAWATI/KM.TIRTA KENCANA</v>
      </c>
      <c r="H618" s="520" t="str">
        <f>[3]REKAP!E1113</f>
        <v>SEI SEJUK</v>
      </c>
      <c r="I618" s="521">
        <f>[3]REKAP!F1113</f>
        <v>1</v>
      </c>
      <c r="J618" s="522">
        <f>[3]REKAP!G1113</f>
        <v>8840</v>
      </c>
      <c r="K618" s="522">
        <f>[3]REKAP!H1113</f>
        <v>3900</v>
      </c>
      <c r="L618" s="523">
        <f ca="1">NET</f>
        <v>4940</v>
      </c>
      <c r="M618" s="222" t="str">
        <f ca="1">DL</f>
        <v>LAUT</v>
      </c>
      <c r="Q618" s="346"/>
    </row>
    <row r="619" spans="2:17" ht="15">
      <c r="B619" s="517" t="str">
        <f ca="1">SUPPAJA</f>
        <v>INDRAYANI</v>
      </c>
      <c r="C619" s="338">
        <f ca="1">IF(COUNTIFS($B$3:B619,DATAKBA[[#This Row],[NAMA SUPP]],$E$3:E619,DATAKBA[[#This Row],[TANGGAL]])&lt;&gt;1,0,1)</f>
        <v>1</v>
      </c>
      <c r="D619" s="222">
        <f t="shared" si="52"/>
        <v>3</v>
      </c>
      <c r="E619" s="528">
        <v>43908</v>
      </c>
      <c r="F619" s="518" t="str">
        <f ca="1">DOC</f>
        <v>052</v>
      </c>
      <c r="G619" s="519" t="str">
        <f>[3]REKAP!D1114</f>
        <v>INDRAYANI</v>
      </c>
      <c r="H619" s="520" t="str">
        <f>[3]REKAP!E1114</f>
        <v>SEI SEJUK</v>
      </c>
      <c r="I619" s="521">
        <f>[3]REKAP!F1114</f>
        <v>2</v>
      </c>
      <c r="J619" s="522">
        <f>[3]REKAP!G1114</f>
        <v>19500</v>
      </c>
      <c r="K619" s="522">
        <f>[3]REKAP!H1114</f>
        <v>7760</v>
      </c>
      <c r="L619" s="523">
        <f ca="1">NET</f>
        <v>11740</v>
      </c>
      <c r="M619" s="222" t="str">
        <f ca="1">DL</f>
        <v>DARAT</v>
      </c>
      <c r="Q619" s="346"/>
    </row>
    <row r="620" spans="2:17" ht="15">
      <c r="B620" s="517" t="str">
        <f ca="1">SUPPAJA</f>
        <v>RUSLAN JAYA, SH</v>
      </c>
      <c r="C620" s="338">
        <f ca="1">IF(COUNTIFS($B$3:B620,DATAKBA[[#This Row],[NAMA SUPP]],$E$3:E620,DATAKBA[[#This Row],[TANGGAL]])&lt;&gt;1,0,1)</f>
        <v>1</v>
      </c>
      <c r="D620" s="222">
        <f t="shared" si="52"/>
        <v>4</v>
      </c>
      <c r="E620" s="528">
        <v>43908</v>
      </c>
      <c r="F620" s="518" t="str">
        <f ca="1">DOC</f>
        <v>045</v>
      </c>
      <c r="G620" s="519" t="s">
        <v>230</v>
      </c>
      <c r="H620" s="520" t="str">
        <f>[3]REKAP!E1115</f>
        <v>TEMBILAHAN</v>
      </c>
      <c r="I620" s="521">
        <f>[3]REKAP!F1115</f>
        <v>1</v>
      </c>
      <c r="J620" s="522">
        <f>[3]REKAP!G1115</f>
        <v>12200</v>
      </c>
      <c r="K620" s="522">
        <f>[3]REKAP!H1115</f>
        <v>4590</v>
      </c>
      <c r="L620" s="523">
        <f ca="1">NET</f>
        <v>7610</v>
      </c>
      <c r="M620" s="222" t="str">
        <f ca="1">DL</f>
        <v>DARAT</v>
      </c>
      <c r="Q620" s="346"/>
    </row>
    <row r="621" spans="2:17" ht="15">
      <c r="B621" s="517" t="str">
        <f ca="1">SUPPAJA</f>
        <v>YANADI</v>
      </c>
      <c r="C621" s="338">
        <f ca="1">IF(COUNTIFS($B$3:B621,DATAKBA[[#This Row],[NAMA SUPP]],$E$3:E621,DATAKBA[[#This Row],[TANGGAL]])&lt;&gt;1,0,1)</f>
        <v>1</v>
      </c>
      <c r="D621" s="222">
        <f t="shared" si="52"/>
        <v>5</v>
      </c>
      <c r="E621" s="528">
        <v>43908</v>
      </c>
      <c r="F621" s="518" t="str">
        <f ca="1">DOC</f>
        <v>045</v>
      </c>
      <c r="G621" s="519" t="str">
        <f>[3]REKAP!D1116</f>
        <v>YANADI</v>
      </c>
      <c r="H621" s="520" t="str">
        <f>[3]REKAP!E1116</f>
        <v>ENOK</v>
      </c>
      <c r="I621" s="521">
        <f>[3]REKAP!F1116</f>
        <v>2</v>
      </c>
      <c r="J621" s="522">
        <f>[3]REKAP!G1116</f>
        <v>7990</v>
      </c>
      <c r="K621" s="522">
        <f>[3]REKAP!H1116</f>
        <v>3370</v>
      </c>
      <c r="L621" s="523">
        <f ca="1">NET</f>
        <v>4620</v>
      </c>
      <c r="M621" s="222" t="str">
        <f ca="1">DL</f>
        <v>DARAT</v>
      </c>
      <c r="Q621" s="346"/>
    </row>
    <row r="622" spans="2:17" ht="15">
      <c r="B622" s="517" t="str">
        <f ca="1">SUPPAJA</f>
        <v>MARTONO</v>
      </c>
      <c r="C622" s="338">
        <f ca="1">IF(COUNTIFS($B$3:B622,DATAKBA[[#This Row],[NAMA SUPP]],$E$3:E622,DATAKBA[[#This Row],[TANGGAL]])&lt;&gt;1,0,1)</f>
        <v>1</v>
      </c>
      <c r="D622" s="222">
        <f t="shared" si="52"/>
        <v>6</v>
      </c>
      <c r="E622" s="528">
        <v>43908</v>
      </c>
      <c r="F622" s="518" t="str">
        <f ca="1">DOC</f>
        <v>049</v>
      </c>
      <c r="G622" s="519" t="str">
        <f>[3]REKAP!D1117</f>
        <v>MARTONO/KM.RUPI</v>
      </c>
      <c r="H622" s="520" t="str">
        <f>[3]REKAP!E1117</f>
        <v>TBH</v>
      </c>
      <c r="I622" s="521">
        <f>[3]REKAP!F1117</f>
        <v>1</v>
      </c>
      <c r="J622" s="522">
        <f>[3]REKAP!G1117</f>
        <v>5360</v>
      </c>
      <c r="K622" s="522">
        <f>[3]REKAP!H1117</f>
        <v>3950</v>
      </c>
      <c r="L622" s="523">
        <f ca="1">NET</f>
        <v>1410</v>
      </c>
      <c r="M622" s="222" t="str">
        <f ca="1">DL</f>
        <v>LAUT</v>
      </c>
      <c r="Q622" s="346"/>
    </row>
    <row r="623" spans="2:17" ht="15">
      <c r="B623" s="517" t="str">
        <f ca="1">SUPPAJA</f>
        <v>MARTONO</v>
      </c>
      <c r="C623" s="338">
        <f ca="1">IF(COUNTIFS($B$3:B623,DATAKBA[[#This Row],[NAMA SUPP]],$E$3:E623,DATAKBA[[#This Row],[TANGGAL]])&lt;&gt;1,0,1)</f>
        <v>0</v>
      </c>
      <c r="D623" s="222">
        <f t="shared" si="52"/>
        <v>7</v>
      </c>
      <c r="E623" s="528">
        <v>43908</v>
      </c>
      <c r="F623" s="524" t="str">
        <f ca="1">DOC</f>
        <v/>
      </c>
      <c r="G623" s="525" t="str">
        <f>[3]REKAP!D1118</f>
        <v>MARTONO/KM.WASI</v>
      </c>
      <c r="H623" s="526" t="str">
        <f>[3]REKAP!E1118</f>
        <v>TBH</v>
      </c>
      <c r="I623" s="527">
        <f>[3]REKAP!F1118</f>
        <v>1</v>
      </c>
      <c r="J623" s="522">
        <f>[3]REKAP!G1118</f>
        <v>7210</v>
      </c>
      <c r="K623" s="522">
        <f>[3]REKAP!H1118</f>
        <v>3890</v>
      </c>
      <c r="L623" s="523">
        <f ca="1">NET</f>
        <v>3320</v>
      </c>
      <c r="M623" s="222" t="str">
        <f ca="1">DL</f>
        <v>LAUT</v>
      </c>
      <c r="Q623" s="346"/>
    </row>
    <row r="624" spans="2:17" ht="15">
      <c r="B624" s="517" t="str">
        <f ca="1">SUPPAJA</f>
        <v>ERAWATI</v>
      </c>
      <c r="C624" s="338">
        <f ca="1">IF(COUNTIFS($B$3:B624,DATAKBA[[#This Row],[NAMA SUPP]],$E$3:E624,DATAKBA[[#This Row],[TANGGAL]])&lt;&gt;1,0,1)</f>
        <v>1</v>
      </c>
      <c r="D624" s="222">
        <f t="shared" ref="D624:D631" si="53">COUNTER_RUDI</f>
        <v>1</v>
      </c>
      <c r="E624" s="528">
        <v>43909</v>
      </c>
      <c r="F624" s="518" t="str">
        <f ca="1">DOC</f>
        <v>059</v>
      </c>
      <c r="G624" s="519" t="s">
        <v>220</v>
      </c>
      <c r="H624" s="520" t="str">
        <f>'[2]19'!D14</f>
        <v>SEI SEJUK</v>
      </c>
      <c r="I624" s="521">
        <f>'[2]19'!E14</f>
        <v>1</v>
      </c>
      <c r="J624" s="522">
        <f>'[2]19'!F14</f>
        <v>10790</v>
      </c>
      <c r="K624" s="522">
        <f>'[2]19'!G14</f>
        <v>4380</v>
      </c>
      <c r="L624" s="523">
        <f ca="1">NET</f>
        <v>6410</v>
      </c>
      <c r="M624" s="222" t="str">
        <f ca="1">DL</f>
        <v>DARAT</v>
      </c>
      <c r="Q624" s="346"/>
    </row>
    <row r="625" spans="2:17" ht="15">
      <c r="B625" s="517" t="str">
        <f ca="1">SUPPAJA</f>
        <v>INDRAYANI</v>
      </c>
      <c r="C625" s="338">
        <f ca="1">IF(COUNTIFS($B$3:B625,DATAKBA[[#This Row],[NAMA SUPP]],$E$3:E625,DATAKBA[[#This Row],[TANGGAL]])&lt;&gt;1,0,1)</f>
        <v>1</v>
      </c>
      <c r="D625" s="222">
        <f t="shared" si="53"/>
        <v>2</v>
      </c>
      <c r="E625" s="528">
        <v>43909</v>
      </c>
      <c r="F625" s="518" t="str">
        <f ca="1">DOC</f>
        <v>053</v>
      </c>
      <c r="G625" s="519" t="s">
        <v>99</v>
      </c>
      <c r="H625" s="520" t="str">
        <f>'[2]19'!D15</f>
        <v>SEI SEJUK</v>
      </c>
      <c r="I625" s="521">
        <f>'[2]19'!E15</f>
        <v>1</v>
      </c>
      <c r="J625" s="522">
        <f>'[2]19'!F15</f>
        <v>12870</v>
      </c>
      <c r="K625" s="522">
        <f>'[2]19'!G15</f>
        <v>4510</v>
      </c>
      <c r="L625" s="523">
        <f ca="1">NET</f>
        <v>8360</v>
      </c>
      <c r="M625" s="222" t="str">
        <f ca="1">DL</f>
        <v>DARAT</v>
      </c>
      <c r="Q625" s="346"/>
    </row>
    <row r="626" spans="2:17" ht="15">
      <c r="B626" s="517" t="str">
        <f ca="1">SUPPAJA</f>
        <v>YANADI</v>
      </c>
      <c r="C626" s="338">
        <f ca="1">IF(COUNTIFS($B$3:B626,DATAKBA[[#This Row],[NAMA SUPP]],$E$3:E626,DATAKBA[[#This Row],[TANGGAL]])&lt;&gt;1,0,1)</f>
        <v>1</v>
      </c>
      <c r="D626" s="222">
        <f t="shared" si="53"/>
        <v>3</v>
      </c>
      <c r="E626" s="528">
        <v>43909</v>
      </c>
      <c r="F626" s="524" t="str">
        <f ca="1">DOC</f>
        <v>046</v>
      </c>
      <c r="G626" s="525" t="s">
        <v>137</v>
      </c>
      <c r="H626" s="526" t="str">
        <f>'[2]19'!D16</f>
        <v>ENOK</v>
      </c>
      <c r="I626" s="527">
        <f>'[2]19'!E16</f>
        <v>4</v>
      </c>
      <c r="J626" s="522">
        <f>'[2]19'!F16</f>
        <v>31110</v>
      </c>
      <c r="K626" s="522">
        <f>'[2]19'!G16</f>
        <v>11670</v>
      </c>
      <c r="L626" s="523">
        <f ca="1">NET</f>
        <v>19440</v>
      </c>
      <c r="M626" s="222" t="str">
        <f ca="1">DL</f>
        <v>DARAT</v>
      </c>
      <c r="Q626" s="346"/>
    </row>
    <row r="627" spans="2:17" ht="15">
      <c r="B627" s="517" t="str">
        <f ca="1">SUPPAJA</f>
        <v>MARTONO</v>
      </c>
      <c r="C627" s="338">
        <f ca="1">IF(COUNTIFS($B$3:B627,DATAKBA[[#This Row],[NAMA SUPP]],$E$3:E627,DATAKBA[[#This Row],[TANGGAL]])&lt;&gt;1,0,1)</f>
        <v>1</v>
      </c>
      <c r="D627" s="222">
        <f t="shared" si="53"/>
        <v>4</v>
      </c>
      <c r="E627" s="528">
        <v>43909</v>
      </c>
      <c r="F627" s="524" t="str">
        <f ca="1">DOC</f>
        <v>050</v>
      </c>
      <c r="G627" s="525" t="s">
        <v>439</v>
      </c>
      <c r="H627" s="526" t="s">
        <v>257</v>
      </c>
      <c r="I627" s="527">
        <v>2</v>
      </c>
      <c r="J627" s="522">
        <v>13240</v>
      </c>
      <c r="K627" s="522">
        <v>7840</v>
      </c>
      <c r="L627" s="523">
        <f ca="1">NET</f>
        <v>5400</v>
      </c>
      <c r="M627" s="222" t="str">
        <f ca="1">DL</f>
        <v>LAUT</v>
      </c>
      <c r="Q627" s="346"/>
    </row>
    <row r="628" spans="2:17" ht="15">
      <c r="B628" s="517" t="str">
        <f ca="1">SUPPAJA</f>
        <v>ERAWATI</v>
      </c>
      <c r="C628" s="338">
        <f ca="1">IF(COUNTIFS($B$3:B628,DATAKBA[[#This Row],[NAMA SUPP]],$E$3:E628,DATAKBA[[#This Row],[TANGGAL]])&lt;&gt;1,0,1)</f>
        <v>1</v>
      </c>
      <c r="D628" s="222">
        <f t="shared" si="53"/>
        <v>1</v>
      </c>
      <c r="E628" s="528">
        <v>43910</v>
      </c>
      <c r="F628" s="518" t="str">
        <f ca="1">DOC</f>
        <v>060</v>
      </c>
      <c r="G628" s="519" t="s">
        <v>220</v>
      </c>
      <c r="H628" s="520" t="s">
        <v>253</v>
      </c>
      <c r="I628" s="521">
        <v>1</v>
      </c>
      <c r="J628" s="522">
        <v>10720</v>
      </c>
      <c r="K628" s="522">
        <v>4400</v>
      </c>
      <c r="L628" s="523">
        <f ca="1">NET</f>
        <v>6320</v>
      </c>
      <c r="M628" s="222" t="str">
        <f ca="1">DL</f>
        <v>DARAT</v>
      </c>
      <c r="Q628" s="346"/>
    </row>
    <row r="629" spans="2:17" ht="15">
      <c r="B629" s="517" t="str">
        <f ca="1">SUPPAJA</f>
        <v>RUSLAN JAYA, SH</v>
      </c>
      <c r="C629" s="338">
        <f ca="1">IF(COUNTIFS($B$3:B629,DATAKBA[[#This Row],[NAMA SUPP]],$E$3:E629,DATAKBA[[#This Row],[TANGGAL]])&lt;&gt;1,0,1)</f>
        <v>1</v>
      </c>
      <c r="D629" s="222">
        <f t="shared" si="53"/>
        <v>2</v>
      </c>
      <c r="E629" s="528">
        <v>43910</v>
      </c>
      <c r="F629" s="518" t="str">
        <f ca="1">DOC</f>
        <v>046</v>
      </c>
      <c r="G629" s="519" t="s">
        <v>230</v>
      </c>
      <c r="H629" s="520" t="s">
        <v>255</v>
      </c>
      <c r="I629" s="521">
        <v>1</v>
      </c>
      <c r="J629" s="522">
        <v>12140</v>
      </c>
      <c r="K629" s="522">
        <v>4180</v>
      </c>
      <c r="L629" s="523">
        <f ca="1">NET</f>
        <v>7960</v>
      </c>
      <c r="M629" s="222" t="str">
        <f ca="1">DL</f>
        <v>DARAT</v>
      </c>
      <c r="Q629" s="346"/>
    </row>
    <row r="630" spans="2:17" ht="15">
      <c r="B630" s="517" t="str">
        <f ca="1">SUPPAJA</f>
        <v>YANADI</v>
      </c>
      <c r="C630" s="338">
        <f ca="1">IF(COUNTIFS($B$3:B630,DATAKBA[[#This Row],[NAMA SUPP]],$E$3:E630,DATAKBA[[#This Row],[TANGGAL]])&lt;&gt;1,0,1)</f>
        <v>1</v>
      </c>
      <c r="D630" s="222">
        <f t="shared" si="53"/>
        <v>3</v>
      </c>
      <c r="E630" s="528">
        <v>43910</v>
      </c>
      <c r="F630" s="524" t="str">
        <f ca="1">DOC</f>
        <v>047</v>
      </c>
      <c r="G630" s="525" t="s">
        <v>137</v>
      </c>
      <c r="H630" s="526" t="s">
        <v>265</v>
      </c>
      <c r="I630" s="527">
        <v>2</v>
      </c>
      <c r="J630" s="522">
        <v>17250</v>
      </c>
      <c r="K630" s="522">
        <v>6280</v>
      </c>
      <c r="L630" s="523">
        <f ca="1">NET</f>
        <v>10970</v>
      </c>
      <c r="M630" s="222" t="str">
        <f ca="1">DL</f>
        <v>DARAT</v>
      </c>
      <c r="Q630" s="346"/>
    </row>
    <row r="631" spans="2:17" ht="15">
      <c r="B631" s="517" t="str">
        <f ca="1">SUPPAJA</f>
        <v>HENDRI</v>
      </c>
      <c r="C631" s="338">
        <f ca="1">IF(COUNTIFS($B$3:B631,DATAKBA[[#This Row],[NAMA SUPP]],$E$3:E631,DATAKBA[[#This Row],[TANGGAL]])&lt;&gt;1,0,1)</f>
        <v>1</v>
      </c>
      <c r="D631" s="222">
        <f t="shared" si="53"/>
        <v>4</v>
      </c>
      <c r="E631" s="528">
        <v>43910</v>
      </c>
      <c r="F631" s="524" t="str">
        <f ca="1">DOC</f>
        <v>029</v>
      </c>
      <c r="G631" s="525" t="s">
        <v>254</v>
      </c>
      <c r="H631" s="520" t="s">
        <v>255</v>
      </c>
      <c r="I631" s="527">
        <v>1</v>
      </c>
      <c r="J631" s="522">
        <v>5320</v>
      </c>
      <c r="K631" s="522">
        <v>3800</v>
      </c>
      <c r="L631" s="523">
        <f ca="1">NET</f>
        <v>1520</v>
      </c>
      <c r="M631" s="222" t="str">
        <f ca="1">DL</f>
        <v>LAUT</v>
      </c>
      <c r="Q631" s="346"/>
    </row>
    <row r="632" spans="2:17" ht="15">
      <c r="B632" s="517" t="str">
        <f ca="1">SUPPAJA</f>
        <v>ERAWATI</v>
      </c>
      <c r="C632" s="338">
        <f ca="1">IF(COUNTIFS($B$3:B632,DATAKBA[[#This Row],[NAMA SUPP]],$E$3:E632,DATAKBA[[#This Row],[TANGGAL]])&lt;&gt;1,0,1)</f>
        <v>1</v>
      </c>
      <c r="D632" s="222">
        <f t="shared" ref="D632:D640" si="54">COUNTER_RUDI</f>
        <v>1</v>
      </c>
      <c r="E632" s="528">
        <v>43911</v>
      </c>
      <c r="F632" s="518" t="str">
        <f ca="1">DOC</f>
        <v>061</v>
      </c>
      <c r="G632" s="519" t="s">
        <v>220</v>
      </c>
      <c r="H632" s="520" t="s">
        <v>253</v>
      </c>
      <c r="I632" s="521">
        <v>2</v>
      </c>
      <c r="J632" s="522">
        <v>23660</v>
      </c>
      <c r="K632" s="522">
        <v>8860</v>
      </c>
      <c r="L632" s="523">
        <f ca="1">NET</f>
        <v>14800</v>
      </c>
      <c r="M632" s="222" t="str">
        <f ca="1">DL</f>
        <v>DARAT</v>
      </c>
      <c r="Q632" s="346"/>
    </row>
    <row r="633" spans="2:17" ht="15">
      <c r="B633" s="517" t="str">
        <f ca="1">SUPPAJA</f>
        <v>RUSLAN JAYA, SH</v>
      </c>
      <c r="C633" s="338">
        <f ca="1">IF(COUNTIFS($B$3:B633,DATAKBA[[#This Row],[NAMA SUPP]],$E$3:E633,DATAKBA[[#This Row],[TANGGAL]])&lt;&gt;1,0,1)</f>
        <v>1</v>
      </c>
      <c r="D633" s="222">
        <f t="shared" si="54"/>
        <v>2</v>
      </c>
      <c r="E633" s="528">
        <v>43911</v>
      </c>
      <c r="F633" s="518" t="str">
        <f ca="1">DOC</f>
        <v>047</v>
      </c>
      <c r="G633" s="519" t="s">
        <v>230</v>
      </c>
      <c r="H633" s="520" t="s">
        <v>255</v>
      </c>
      <c r="I633" s="521">
        <v>1</v>
      </c>
      <c r="J633" s="522">
        <v>13450</v>
      </c>
      <c r="K633" s="522">
        <v>4450</v>
      </c>
      <c r="L633" s="523">
        <f ca="1">NET</f>
        <v>9000</v>
      </c>
      <c r="M633" s="222" t="str">
        <f ca="1">DL</f>
        <v>DARAT</v>
      </c>
      <c r="Q633" s="346"/>
    </row>
    <row r="634" spans="2:17" ht="15">
      <c r="B634" s="517" t="str">
        <f ca="1">SUPPAJA</f>
        <v>YANADI</v>
      </c>
      <c r="C634" s="338">
        <f ca="1">IF(COUNTIFS($B$3:B634,DATAKBA[[#This Row],[NAMA SUPP]],$E$3:E634,DATAKBA[[#This Row],[TANGGAL]])&lt;&gt;1,0,1)</f>
        <v>1</v>
      </c>
      <c r="D634" s="222">
        <f t="shared" si="54"/>
        <v>3</v>
      </c>
      <c r="E634" s="528">
        <v>43911</v>
      </c>
      <c r="F634" s="524" t="str">
        <f ca="1">DOC</f>
        <v>048</v>
      </c>
      <c r="G634" s="525" t="s">
        <v>137</v>
      </c>
      <c r="H634" s="526" t="s">
        <v>265</v>
      </c>
      <c r="I634" s="527">
        <v>2</v>
      </c>
      <c r="J634" s="522">
        <v>9560</v>
      </c>
      <c r="K634" s="522">
        <v>3360</v>
      </c>
      <c r="L634" s="523">
        <f ca="1">NET</f>
        <v>6200</v>
      </c>
      <c r="M634" s="222" t="str">
        <f ca="1">DL</f>
        <v>DARAT</v>
      </c>
      <c r="Q634" s="346"/>
    </row>
    <row r="635" spans="2:17" ht="15">
      <c r="B635" s="517" t="str">
        <f ca="1">SUPPAJA</f>
        <v>ERAWATI</v>
      </c>
      <c r="C635" s="338">
        <f ca="1">IF(COUNTIFS($B$3:B635,DATAKBA[[#This Row],[NAMA SUPP]],$E$3:E635,DATAKBA[[#This Row],[TANGGAL]])&lt;&gt;1,0,1)</f>
        <v>1</v>
      </c>
      <c r="D635" s="222">
        <f t="shared" si="54"/>
        <v>1</v>
      </c>
      <c r="E635" s="528">
        <v>43913</v>
      </c>
      <c r="F635" s="518" t="str">
        <f ca="1">DOC</f>
        <v>062</v>
      </c>
      <c r="G635" s="519" t="s">
        <v>220</v>
      </c>
      <c r="H635" s="520" t="s">
        <v>253</v>
      </c>
      <c r="I635" s="521">
        <v>2</v>
      </c>
      <c r="J635" s="522">
        <v>23610</v>
      </c>
      <c r="K635" s="522">
        <v>8960</v>
      </c>
      <c r="L635" s="523">
        <f ca="1">NET</f>
        <v>14650</v>
      </c>
      <c r="M635" s="222" t="str">
        <f ca="1">DL</f>
        <v>DARAT</v>
      </c>
      <c r="Q635" s="346"/>
    </row>
    <row r="636" spans="2:17" ht="15">
      <c r="B636" s="517" t="str">
        <f ca="1">SUPPAJA</f>
        <v>RUSLAN JAYA, SH</v>
      </c>
      <c r="C636" s="338">
        <f ca="1">IF(COUNTIFS($B$3:B636,DATAKBA[[#This Row],[NAMA SUPP]],$E$3:E636,DATAKBA[[#This Row],[TANGGAL]])&lt;&gt;1,0,1)</f>
        <v>1</v>
      </c>
      <c r="D636" s="222">
        <f t="shared" si="54"/>
        <v>2</v>
      </c>
      <c r="E636" s="528">
        <v>43913</v>
      </c>
      <c r="F636" s="518" t="str">
        <f ca="1">DOC</f>
        <v>048</v>
      </c>
      <c r="G636" s="519" t="s">
        <v>230</v>
      </c>
      <c r="H636" s="520" t="s">
        <v>255</v>
      </c>
      <c r="I636" s="521">
        <v>3</v>
      </c>
      <c r="J636" s="522">
        <v>36320</v>
      </c>
      <c r="K636" s="522">
        <v>16560</v>
      </c>
      <c r="L636" s="523">
        <f ca="1">NET</f>
        <v>19760</v>
      </c>
      <c r="M636" s="222" t="str">
        <f ca="1">DL</f>
        <v>DARAT</v>
      </c>
      <c r="Q636" s="346"/>
    </row>
    <row r="637" spans="2:17" ht="15">
      <c r="B637" s="517" t="str">
        <f ca="1">SUPPAJA</f>
        <v>YANADI</v>
      </c>
      <c r="C637" s="338">
        <f ca="1">IF(COUNTIFS($B$3:B637,DATAKBA[[#This Row],[NAMA SUPP]],$E$3:E637,DATAKBA[[#This Row],[TANGGAL]])&lt;&gt;1,0,1)</f>
        <v>1</v>
      </c>
      <c r="D637" s="222">
        <f t="shared" si="54"/>
        <v>3</v>
      </c>
      <c r="E637" s="528">
        <v>43913</v>
      </c>
      <c r="F637" s="524" t="str">
        <f ca="1">DOC</f>
        <v>049</v>
      </c>
      <c r="G637" s="525" t="s">
        <v>137</v>
      </c>
      <c r="H637" s="526" t="s">
        <v>265</v>
      </c>
      <c r="I637" s="527">
        <v>1</v>
      </c>
      <c r="J637" s="522">
        <v>5140</v>
      </c>
      <c r="K637" s="522">
        <v>1520</v>
      </c>
      <c r="L637" s="523">
        <f ca="1">NET</f>
        <v>3620</v>
      </c>
      <c r="M637" s="222" t="str">
        <f ca="1">DL</f>
        <v>DARAT</v>
      </c>
      <c r="Q637" s="346"/>
    </row>
    <row r="638" spans="2:17" ht="15">
      <c r="B638" s="517" t="str">
        <f ca="1">SUPPAJA</f>
        <v>HENDRI</v>
      </c>
      <c r="C638" s="338">
        <f ca="1">IF(COUNTIFS($B$3:B638,DATAKBA[[#This Row],[NAMA SUPP]],$E$3:E638,DATAKBA[[#This Row],[TANGGAL]])&lt;&gt;1,0,1)</f>
        <v>1</v>
      </c>
      <c r="D638" s="222">
        <f t="shared" si="54"/>
        <v>4</v>
      </c>
      <c r="E638" s="528">
        <v>43913</v>
      </c>
      <c r="F638" s="518" t="str">
        <f ca="1">DOC</f>
        <v>030</v>
      </c>
      <c r="G638" s="519" t="s">
        <v>440</v>
      </c>
      <c r="H638" s="520" t="s">
        <v>255</v>
      </c>
      <c r="I638" s="521">
        <v>1</v>
      </c>
      <c r="J638" s="522">
        <v>6730</v>
      </c>
      <c r="K638" s="522">
        <v>3870</v>
      </c>
      <c r="L638" s="523">
        <f ca="1">NET</f>
        <v>2860</v>
      </c>
      <c r="M638" s="222" t="str">
        <f ca="1">DL</f>
        <v>LAUT</v>
      </c>
      <c r="Q638" s="346"/>
    </row>
    <row r="639" spans="2:17" ht="15">
      <c r="B639" s="517" t="str">
        <f ca="1">SUPPAJA</f>
        <v>HENDRI</v>
      </c>
      <c r="C639" s="338">
        <f ca="1">IF(COUNTIFS($B$3:B639,DATAKBA[[#This Row],[NAMA SUPP]],$E$3:E639,DATAKBA[[#This Row],[TANGGAL]])&lt;&gt;1,0,1)</f>
        <v>0</v>
      </c>
      <c r="D639" s="222">
        <f t="shared" si="54"/>
        <v>5</v>
      </c>
      <c r="E639" s="528">
        <v>43913</v>
      </c>
      <c r="F639" s="518" t="str">
        <f ca="1">DOC</f>
        <v/>
      </c>
      <c r="G639" s="519" t="s">
        <v>335</v>
      </c>
      <c r="H639" s="520" t="s">
        <v>255</v>
      </c>
      <c r="I639" s="521">
        <v>3</v>
      </c>
      <c r="J639" s="522">
        <v>23630</v>
      </c>
      <c r="K639" s="522">
        <v>11670</v>
      </c>
      <c r="L639" s="523">
        <f ca="1">NET</f>
        <v>11960</v>
      </c>
      <c r="M639" s="222" t="str">
        <f ca="1">DL</f>
        <v>LAUT</v>
      </c>
      <c r="Q639" s="346"/>
    </row>
    <row r="640" spans="2:17" ht="15">
      <c r="B640" s="517" t="str">
        <f ca="1">SUPPAJA</f>
        <v>WARTINI</v>
      </c>
      <c r="C640" s="338">
        <f ca="1">IF(COUNTIFS($B$3:B640,DATAKBA[[#This Row],[NAMA SUPP]],$E$3:E640,DATAKBA[[#This Row],[TANGGAL]])&lt;&gt;1,0,1)</f>
        <v>1</v>
      </c>
      <c r="D640" s="222">
        <f t="shared" si="54"/>
        <v>6</v>
      </c>
      <c r="E640" s="528">
        <v>43913</v>
      </c>
      <c r="F640" s="524" t="str">
        <f ca="1">DOC</f>
        <v>004</v>
      </c>
      <c r="G640" s="525" t="s">
        <v>441</v>
      </c>
      <c r="H640" s="526" t="s">
        <v>351</v>
      </c>
      <c r="I640" s="527">
        <v>27</v>
      </c>
      <c r="J640" s="522">
        <v>227970</v>
      </c>
      <c r="K640" s="522">
        <v>105140</v>
      </c>
      <c r="L640" s="523">
        <f ca="1">NET</f>
        <v>122830</v>
      </c>
      <c r="M640" s="222" t="str">
        <f ca="1">DL</f>
        <v>LAUT</v>
      </c>
      <c r="Q640" s="346"/>
    </row>
    <row r="641" spans="2:17" ht="15">
      <c r="B641" s="517" t="str">
        <f ca="1">SUPPAJA</f>
        <v>ERAWATI</v>
      </c>
      <c r="C641" s="338">
        <f ca="1">IF(COUNTIFS($B$3:B641,DATAKBA[[#This Row],[NAMA SUPP]],$E$3:E641,DATAKBA[[#This Row],[TANGGAL]])&lt;&gt;1,0,1)</f>
        <v>1</v>
      </c>
      <c r="D641" s="222">
        <f t="shared" ref="D641:D647" si="55">COUNTER_RUDI</f>
        <v>1</v>
      </c>
      <c r="E641" s="528">
        <v>43914</v>
      </c>
      <c r="F641" s="518" t="str">
        <f ca="1">DOC</f>
        <v>063</v>
      </c>
      <c r="G641" s="519" t="s">
        <v>220</v>
      </c>
      <c r="H641" s="520" t="s">
        <v>253</v>
      </c>
      <c r="I641" s="521">
        <v>1</v>
      </c>
      <c r="J641" s="522">
        <v>10660</v>
      </c>
      <c r="K641" s="522">
        <v>4820</v>
      </c>
      <c r="L641" s="523">
        <f ca="1">NET</f>
        <v>5840</v>
      </c>
      <c r="M641" s="222" t="str">
        <f ca="1">DL</f>
        <v>DARAT</v>
      </c>
      <c r="Q641" s="346"/>
    </row>
    <row r="642" spans="2:17" ht="15">
      <c r="B642" s="517" t="str">
        <f ca="1">SUPPAJA</f>
        <v>RUSLAN JAYA, SH</v>
      </c>
      <c r="C642" s="338">
        <f ca="1">IF(COUNTIFS($B$3:B642,DATAKBA[[#This Row],[NAMA SUPP]],$E$3:E642,DATAKBA[[#This Row],[TANGGAL]])&lt;&gt;1,0,1)</f>
        <v>1</v>
      </c>
      <c r="D642" s="222">
        <f t="shared" si="55"/>
        <v>2</v>
      </c>
      <c r="E642" s="528">
        <v>43914</v>
      </c>
      <c r="F642" s="518" t="str">
        <f ca="1">DOC</f>
        <v>049</v>
      </c>
      <c r="G642" s="519" t="s">
        <v>230</v>
      </c>
      <c r="H642" s="520" t="s">
        <v>255</v>
      </c>
      <c r="I642" s="521">
        <v>2</v>
      </c>
      <c r="J642" s="522">
        <v>16540</v>
      </c>
      <c r="K642" s="522">
        <v>6110</v>
      </c>
      <c r="L642" s="523">
        <f ca="1">NET</f>
        <v>10430</v>
      </c>
      <c r="M642" s="222" t="str">
        <f ca="1">DL</f>
        <v>DARAT</v>
      </c>
      <c r="Q642" s="346"/>
    </row>
    <row r="643" spans="2:17" ht="15">
      <c r="B643" s="517" t="str">
        <f ca="1">SUPPAJA</f>
        <v>YANADI</v>
      </c>
      <c r="C643" s="338">
        <f ca="1">IF(COUNTIFS($B$3:B643,DATAKBA[[#This Row],[NAMA SUPP]],$E$3:E643,DATAKBA[[#This Row],[TANGGAL]])&lt;&gt;1,0,1)</f>
        <v>1</v>
      </c>
      <c r="D643" s="222">
        <f t="shared" si="55"/>
        <v>3</v>
      </c>
      <c r="E643" s="528">
        <v>43914</v>
      </c>
      <c r="F643" s="524" t="str">
        <f ca="1">DOC</f>
        <v>050</v>
      </c>
      <c r="G643" s="525" t="s">
        <v>137</v>
      </c>
      <c r="H643" s="526" t="s">
        <v>265</v>
      </c>
      <c r="I643" s="527">
        <v>2</v>
      </c>
      <c r="J643" s="522">
        <v>17600</v>
      </c>
      <c r="K643" s="522">
        <v>6010</v>
      </c>
      <c r="L643" s="523">
        <f ca="1">NET</f>
        <v>11590</v>
      </c>
      <c r="M643" s="222" t="str">
        <f ca="1">DL</f>
        <v>DARAT</v>
      </c>
      <c r="Q643" s="346"/>
    </row>
    <row r="644" spans="2:17" ht="15">
      <c r="B644" s="517" t="str">
        <f ca="1">SUPPAJA</f>
        <v>DINI CHAIRANI</v>
      </c>
      <c r="C644" s="338">
        <f ca="1">IF(COUNTIFS($B$3:B644,DATAKBA[[#This Row],[NAMA SUPP]],$E$3:E644,DATAKBA[[#This Row],[TANGGAL]])&lt;&gt;1,0,1)</f>
        <v>1</v>
      </c>
      <c r="D644" s="222">
        <f t="shared" si="55"/>
        <v>4</v>
      </c>
      <c r="E644" s="528">
        <v>43914</v>
      </c>
      <c r="F644" s="518" t="str">
        <f ca="1">DOC</f>
        <v>041</v>
      </c>
      <c r="G644" s="519" t="str">
        <f>'[4]24'!C8</f>
        <v>DINI CHAIRANI/KM.RUSLI</v>
      </c>
      <c r="H644" s="520" t="str">
        <f>'[4]24'!D8</f>
        <v>P.PALAS</v>
      </c>
      <c r="I644" s="521">
        <f>'[4]24'!E8</f>
        <v>2</v>
      </c>
      <c r="J644" s="522">
        <f>'[4]24'!F8</f>
        <v>13800</v>
      </c>
      <c r="K644" s="522">
        <f>'[4]24'!G8</f>
        <v>7740</v>
      </c>
      <c r="L644" s="523">
        <f ca="1">NET</f>
        <v>6060</v>
      </c>
      <c r="M644" s="222" t="str">
        <f ca="1">DL</f>
        <v>LAUT</v>
      </c>
      <c r="Q644" s="346"/>
    </row>
    <row r="645" spans="2:17" ht="15">
      <c r="B645" s="517" t="str">
        <f ca="1">SUPPAJA</f>
        <v>HENDRI</v>
      </c>
      <c r="C645" s="338">
        <f ca="1">IF(COUNTIFS($B$3:B645,DATAKBA[[#This Row],[NAMA SUPP]],$E$3:E645,DATAKBA[[#This Row],[TANGGAL]])&lt;&gt;1,0,1)</f>
        <v>1</v>
      </c>
      <c r="D645" s="222">
        <f t="shared" si="55"/>
        <v>5</v>
      </c>
      <c r="E645" s="528">
        <v>43914</v>
      </c>
      <c r="F645" s="518" t="str">
        <f ca="1">DOC</f>
        <v>031</v>
      </c>
      <c r="G645" s="519" t="str">
        <f>'[4]24'!C9</f>
        <v>HENDRI/KM.CHANDRA JAYA</v>
      </c>
      <c r="H645" s="520" t="str">
        <f>'[4]24'!D9</f>
        <v>TEMBILAHAN</v>
      </c>
      <c r="I645" s="521">
        <f>'[4]24'!E9</f>
        <v>1</v>
      </c>
      <c r="J645" s="522">
        <f>'[4]24'!F9</f>
        <v>9010</v>
      </c>
      <c r="K645" s="522">
        <f>'[4]24'!G9</f>
        <v>3880</v>
      </c>
      <c r="L645" s="523">
        <f ca="1">NET</f>
        <v>5130</v>
      </c>
      <c r="M645" s="222" t="str">
        <f ca="1">DL</f>
        <v>LAUT</v>
      </c>
      <c r="Q645" s="346"/>
    </row>
    <row r="646" spans="2:17" ht="15">
      <c r="B646" s="517" t="str">
        <f ca="1">SUPPAJA</f>
        <v>HENDRI</v>
      </c>
      <c r="C646" s="338">
        <f ca="1">IF(COUNTIFS($B$3:B646,DATAKBA[[#This Row],[NAMA SUPP]],$E$3:E646,DATAKBA[[#This Row],[TANGGAL]])&lt;&gt;1,0,1)</f>
        <v>0</v>
      </c>
      <c r="D646" s="222">
        <f t="shared" si="55"/>
        <v>6</v>
      </c>
      <c r="E646" s="528">
        <v>43914</v>
      </c>
      <c r="F646" s="518" t="str">
        <f ca="1">DOC</f>
        <v/>
      </c>
      <c r="G646" s="519" t="str">
        <f>'[4]24'!C10</f>
        <v>HENDRI/KM.SETIA</v>
      </c>
      <c r="H646" s="520" t="str">
        <f>'[4]24'!D10</f>
        <v>TEMBILAHAN</v>
      </c>
      <c r="I646" s="521">
        <f>'[4]24'!E10</f>
        <v>1</v>
      </c>
      <c r="J646" s="522">
        <f>'[4]24'!F10</f>
        <v>6960</v>
      </c>
      <c r="K646" s="522">
        <f>'[4]24'!G10</f>
        <v>3900</v>
      </c>
      <c r="L646" s="523">
        <f ca="1">NET</f>
        <v>3060</v>
      </c>
      <c r="M646" s="222" t="str">
        <f ca="1">DL</f>
        <v>LAUT</v>
      </c>
      <c r="Q646" s="346"/>
    </row>
    <row r="647" spans="2:17" ht="15">
      <c r="B647" s="517" t="str">
        <f ca="1">SUPPAJA</f>
        <v>WARTINI</v>
      </c>
      <c r="C647" s="338">
        <f ca="1">IF(COUNTIFS($B$3:B647,DATAKBA[[#This Row],[NAMA SUPP]],$E$3:E647,DATAKBA[[#This Row],[TANGGAL]])&lt;&gt;1,0,1)</f>
        <v>1</v>
      </c>
      <c r="D647" s="222">
        <f t="shared" si="55"/>
        <v>7</v>
      </c>
      <c r="E647" s="528">
        <v>43914</v>
      </c>
      <c r="F647" s="524" t="str">
        <f ca="1">DOC</f>
        <v>005</v>
      </c>
      <c r="G647" s="525" t="str">
        <f>'[4]24'!C11</f>
        <v>WARTINI/KM.KOTA MISISSIPI</v>
      </c>
      <c r="H647" s="526" t="str">
        <f>'[4]24'!D11</f>
        <v>SENDAWA</v>
      </c>
      <c r="I647" s="527">
        <f>'[4]24'!E11</f>
        <v>28</v>
      </c>
      <c r="J647" s="522">
        <f>'[4]24'!F11</f>
        <v>226090</v>
      </c>
      <c r="K647" s="522">
        <f>'[4]24'!G11</f>
        <v>109060</v>
      </c>
      <c r="L647" s="523">
        <f ca="1">NET</f>
        <v>117030</v>
      </c>
      <c r="M647" s="222" t="str">
        <f ca="1">DL</f>
        <v>LAUT</v>
      </c>
      <c r="Q647" s="346"/>
    </row>
    <row r="648" spans="2:17" ht="15">
      <c r="B648" s="351" t="str">
        <f ca="1">SUPPAJA</f>
        <v>ERAWATI</v>
      </c>
      <c r="C648" s="338">
        <f ca="1">IF(COUNTIFS($B$3:B648,DATAKBA[[#This Row],[NAMA SUPP]],$E$3:E648,DATAKBA[[#This Row],[TANGGAL]])&lt;&gt;1,0,1)</f>
        <v>1</v>
      </c>
      <c r="D648" s="222">
        <f t="shared" ref="D648:D656" si="56">COUNTER_RUDI</f>
        <v>1</v>
      </c>
      <c r="E648" s="528">
        <v>43916</v>
      </c>
      <c r="F648" s="352" t="str">
        <f ca="1">DOC</f>
        <v>064</v>
      </c>
      <c r="G648" s="353" t="s">
        <v>220</v>
      </c>
      <c r="H648" s="354" t="s">
        <v>253</v>
      </c>
      <c r="I648" s="355">
        <v>3</v>
      </c>
      <c r="J648" s="529">
        <v>28630</v>
      </c>
      <c r="K648" s="529">
        <v>11750</v>
      </c>
      <c r="L648" s="356">
        <f ca="1">NET</f>
        <v>16880</v>
      </c>
      <c r="M648" s="222" t="str">
        <f ca="1">DL</f>
        <v>DARAT</v>
      </c>
      <c r="Q648" s="346"/>
    </row>
    <row r="649" spans="2:17" ht="15">
      <c r="B649" s="351" t="str">
        <f ca="1">SUPPAJA</f>
        <v>RUSLAN JAYA, SH</v>
      </c>
      <c r="C649" s="338">
        <f ca="1">IF(COUNTIFS($B$3:B649,DATAKBA[[#This Row],[NAMA SUPP]],$E$3:E649,DATAKBA[[#This Row],[TANGGAL]])&lt;&gt;1,0,1)</f>
        <v>1</v>
      </c>
      <c r="D649" s="222">
        <f t="shared" si="56"/>
        <v>2</v>
      </c>
      <c r="E649" s="528">
        <v>43916</v>
      </c>
      <c r="F649" s="352" t="str">
        <f ca="1">DOC</f>
        <v>050</v>
      </c>
      <c r="G649" s="353" t="s">
        <v>230</v>
      </c>
      <c r="H649" s="354" t="s">
        <v>255</v>
      </c>
      <c r="I649" s="355">
        <v>2</v>
      </c>
      <c r="J649" s="529">
        <v>25010</v>
      </c>
      <c r="K649" s="529">
        <v>9230</v>
      </c>
      <c r="L649" s="356">
        <f ca="1">NET</f>
        <v>15780</v>
      </c>
      <c r="M649" s="222" t="str">
        <f ca="1">DL</f>
        <v>DARAT</v>
      </c>
      <c r="Q649" s="346"/>
    </row>
    <row r="650" spans="2:17" ht="15">
      <c r="B650" s="351" t="str">
        <f ca="1">SUPPAJA</f>
        <v>YANADI</v>
      </c>
      <c r="C650" s="338">
        <f ca="1">IF(COUNTIFS($B$3:B650,DATAKBA[[#This Row],[NAMA SUPP]],$E$3:E650,DATAKBA[[#This Row],[TANGGAL]])&lt;&gt;1,0,1)</f>
        <v>1</v>
      </c>
      <c r="D650" s="222">
        <f t="shared" si="56"/>
        <v>3</v>
      </c>
      <c r="E650" s="528">
        <v>43916</v>
      </c>
      <c r="F650" s="210" t="str">
        <f ca="1">DOC</f>
        <v>051</v>
      </c>
      <c r="G650" s="207" t="s">
        <v>137</v>
      </c>
      <c r="H650" s="209" t="s">
        <v>265</v>
      </c>
      <c r="I650" s="208">
        <v>1</v>
      </c>
      <c r="J650" s="529">
        <v>4270</v>
      </c>
      <c r="K650" s="529">
        <v>1790</v>
      </c>
      <c r="L650" s="356">
        <f ca="1">NET</f>
        <v>2480</v>
      </c>
      <c r="M650" s="222" t="str">
        <f ca="1">DL</f>
        <v>DARAT</v>
      </c>
      <c r="Q650" s="346"/>
    </row>
    <row r="651" spans="2:17" ht="15">
      <c r="B651" s="351" t="str">
        <f ca="1">SUPPAJA</f>
        <v>HENDRI</v>
      </c>
      <c r="C651" s="338">
        <f ca="1">IF(COUNTIFS($B$3:B651,DATAKBA[[#This Row],[NAMA SUPP]],$E$3:E651,DATAKBA[[#This Row],[TANGGAL]])&lt;&gt;1,0,1)</f>
        <v>1</v>
      </c>
      <c r="D651" s="222">
        <f t="shared" si="56"/>
        <v>4</v>
      </c>
      <c r="E651" s="528">
        <v>43916</v>
      </c>
      <c r="F651" s="352" t="str">
        <f ca="1">DOC</f>
        <v>032</v>
      </c>
      <c r="G651" s="353" t="s">
        <v>444</v>
      </c>
      <c r="H651" s="354" t="str">
        <f>'[5]26'!D8</f>
        <v>TEMBILAHAN</v>
      </c>
      <c r="I651" s="355">
        <f>'[5]26'!E8</f>
        <v>1</v>
      </c>
      <c r="J651" s="213">
        <f>'[5]26'!F8</f>
        <v>6780</v>
      </c>
      <c r="K651" s="213">
        <f>'[5]26'!G8</f>
        <v>3870</v>
      </c>
      <c r="L651" s="356">
        <f ca="1">NET</f>
        <v>2910</v>
      </c>
      <c r="M651" s="222" t="str">
        <f ca="1">DL</f>
        <v>LAUT</v>
      </c>
      <c r="Q651" s="346"/>
    </row>
    <row r="652" spans="2:17" ht="15">
      <c r="B652" s="351" t="str">
        <f ca="1">SUPPAJA</f>
        <v>WARTINI</v>
      </c>
      <c r="C652" s="338">
        <f ca="1">IF(COUNTIFS($B$3:B652,DATAKBA[[#This Row],[NAMA SUPP]],$E$3:E652,DATAKBA[[#This Row],[TANGGAL]])&lt;&gt;1,0,1)</f>
        <v>1</v>
      </c>
      <c r="D652" s="222">
        <f t="shared" si="56"/>
        <v>5</v>
      </c>
      <c r="E652" s="528">
        <v>43916</v>
      </c>
      <c r="F652" s="210" t="str">
        <f ca="1">DOC</f>
        <v>006</v>
      </c>
      <c r="G652" s="537" t="s">
        <v>441</v>
      </c>
      <c r="H652" s="209" t="str">
        <f>'[5]26'!D9</f>
        <v>SENDAWA</v>
      </c>
      <c r="I652" s="208">
        <f>'[5]26'!E9</f>
        <v>10</v>
      </c>
      <c r="J652" s="213">
        <f>'[5]26'!F9</f>
        <v>80690</v>
      </c>
      <c r="K652" s="213">
        <f>'[5]26'!G9</f>
        <v>38750</v>
      </c>
      <c r="L652" s="356">
        <f ca="1">NET</f>
        <v>41940</v>
      </c>
      <c r="M652" s="222" t="str">
        <f ca="1">DL</f>
        <v>LAUT</v>
      </c>
      <c r="Q652" s="346"/>
    </row>
    <row r="653" spans="2:17" ht="15">
      <c r="B653" s="351" t="str">
        <f ca="1">SUPPAJA</f>
        <v>RUSLAN JAYA, SH</v>
      </c>
      <c r="C653" s="338">
        <f ca="1">IF(COUNTIFS($B$3:B653,DATAKBA[[#This Row],[NAMA SUPP]],$E$3:E653,DATAKBA[[#This Row],[TANGGAL]])&lt;&gt;1,0,1)</f>
        <v>1</v>
      </c>
      <c r="D653" s="222">
        <f t="shared" si="56"/>
        <v>1</v>
      </c>
      <c r="E653" s="528">
        <v>43917</v>
      </c>
      <c r="F653" s="352" t="str">
        <f ca="1">DOC</f>
        <v>051</v>
      </c>
      <c r="G653" s="353" t="s">
        <v>230</v>
      </c>
      <c r="H653" s="354" t="s">
        <v>255</v>
      </c>
      <c r="I653" s="355">
        <v>1</v>
      </c>
      <c r="J653" s="213">
        <v>13090</v>
      </c>
      <c r="K653" s="213">
        <v>4420</v>
      </c>
      <c r="L653" s="356">
        <f ca="1">NET</f>
        <v>8670</v>
      </c>
      <c r="M653" s="222" t="str">
        <f ca="1">DL</f>
        <v>DARAT</v>
      </c>
      <c r="Q653" s="346"/>
    </row>
    <row r="654" spans="2:17" ht="15">
      <c r="B654" s="351" t="str">
        <f ca="1">SUPPAJA</f>
        <v>YANADI</v>
      </c>
      <c r="C654" s="338">
        <f ca="1">IF(COUNTIFS($B$3:B654,DATAKBA[[#This Row],[NAMA SUPP]],$E$3:E654,DATAKBA[[#This Row],[TANGGAL]])&lt;&gt;1,0,1)</f>
        <v>1</v>
      </c>
      <c r="D654" s="222">
        <f t="shared" si="56"/>
        <v>2</v>
      </c>
      <c r="E654" s="528">
        <v>43917</v>
      </c>
      <c r="F654" s="210" t="str">
        <f ca="1">DOC</f>
        <v>052</v>
      </c>
      <c r="G654" s="207" t="s">
        <v>137</v>
      </c>
      <c r="H654" s="209" t="s">
        <v>265</v>
      </c>
      <c r="I654" s="208">
        <v>2</v>
      </c>
      <c r="J654" s="213">
        <v>16720</v>
      </c>
      <c r="K654" s="213">
        <v>6170</v>
      </c>
      <c r="L654" s="356">
        <f ca="1">NET</f>
        <v>10550</v>
      </c>
      <c r="M654" s="222" t="str">
        <f ca="1">DL</f>
        <v>DARAT</v>
      </c>
      <c r="Q654" s="346"/>
    </row>
    <row r="655" spans="2:17" ht="15">
      <c r="B655" s="351" t="str">
        <f ca="1">SUPPAJA</f>
        <v>HENDRI</v>
      </c>
      <c r="C655" s="338">
        <f ca="1">IF(COUNTIFS($B$3:B655,DATAKBA[[#This Row],[NAMA SUPP]],$E$3:E655,DATAKBA[[#This Row],[TANGGAL]])&lt;&gt;1,0,1)</f>
        <v>1</v>
      </c>
      <c r="D655" s="222">
        <f t="shared" si="56"/>
        <v>3</v>
      </c>
      <c r="E655" s="528">
        <v>43917</v>
      </c>
      <c r="F655" s="352" t="str">
        <f ca="1">DOC</f>
        <v>033</v>
      </c>
      <c r="G655" s="353" t="s">
        <v>442</v>
      </c>
      <c r="H655" s="520" t="s">
        <v>255</v>
      </c>
      <c r="I655" s="355">
        <v>1</v>
      </c>
      <c r="J655" s="213">
        <v>5290</v>
      </c>
      <c r="K655" s="213">
        <v>3860</v>
      </c>
      <c r="L655" s="356">
        <f ca="1">NET</f>
        <v>1430</v>
      </c>
      <c r="M655" s="222" t="str">
        <f ca="1">DL</f>
        <v>LAUT</v>
      </c>
      <c r="Q655" s="346"/>
    </row>
    <row r="656" spans="2:17" ht="15">
      <c r="B656" s="351" t="str">
        <f ca="1">SUPPAJA</f>
        <v>HENDRI</v>
      </c>
      <c r="C656" s="338">
        <f ca="1">IF(COUNTIFS($B$3:B656,DATAKBA[[#This Row],[NAMA SUPP]],$E$3:E656,DATAKBA[[#This Row],[TANGGAL]])&lt;&gt;1,0,1)</f>
        <v>0</v>
      </c>
      <c r="D656" s="222">
        <f t="shared" si="56"/>
        <v>4</v>
      </c>
      <c r="E656" s="528">
        <v>43917</v>
      </c>
      <c r="F656" s="210" t="str">
        <f ca="1">DOC</f>
        <v/>
      </c>
      <c r="G656" s="207" t="s">
        <v>443</v>
      </c>
      <c r="H656" s="520" t="s">
        <v>255</v>
      </c>
      <c r="I656" s="208">
        <v>1</v>
      </c>
      <c r="J656" s="213">
        <v>7630</v>
      </c>
      <c r="K656" s="213">
        <v>3870</v>
      </c>
      <c r="L656" s="356">
        <f ca="1">NET</f>
        <v>3760</v>
      </c>
      <c r="M656" s="222" t="str">
        <f ca="1">DL</f>
        <v>LAUT</v>
      </c>
      <c r="Q656" s="346"/>
    </row>
    <row r="657" spans="2:17" ht="15">
      <c r="B657" s="530" t="str">
        <f ca="1">SUPPAJA</f>
        <v>ERAWATI</v>
      </c>
      <c r="C657" s="338">
        <f ca="1">IF(COUNTIFS($B$3:B657,DATAKBA[[#This Row],[NAMA SUPP]],$E$3:E657,DATAKBA[[#This Row],[TANGGAL]])&lt;&gt;1,0,1)</f>
        <v>1</v>
      </c>
      <c r="D657" s="222">
        <f t="shared" ref="D657:D671" si="57">COUNTER_RUDI</f>
        <v>1</v>
      </c>
      <c r="E657" s="528">
        <v>43918</v>
      </c>
      <c r="F657" s="352" t="str">
        <f ca="1">DOC</f>
        <v>065</v>
      </c>
      <c r="G657" s="353" t="s">
        <v>220</v>
      </c>
      <c r="H657" s="538" t="s">
        <v>253</v>
      </c>
      <c r="I657" s="539">
        <v>1</v>
      </c>
      <c r="J657" s="535">
        <v>10150</v>
      </c>
      <c r="K657" s="535">
        <v>4450</v>
      </c>
      <c r="L657" s="536">
        <f ca="1">NET</f>
        <v>5700</v>
      </c>
      <c r="M657" s="222" t="str">
        <f ca="1">DL</f>
        <v>DARAT</v>
      </c>
      <c r="Q657" s="346"/>
    </row>
    <row r="658" spans="2:17" ht="15">
      <c r="B658" s="530" t="str">
        <f ca="1">SUPPAJA</f>
        <v>INDRAYANI</v>
      </c>
      <c r="C658" s="338">
        <f ca="1">IF(COUNTIFS($B$3:B658,DATAKBA[[#This Row],[NAMA SUPP]],$E$3:E658,DATAKBA[[#This Row],[TANGGAL]])&lt;&gt;1,0,1)</f>
        <v>1</v>
      </c>
      <c r="D658" s="222">
        <f t="shared" si="57"/>
        <v>2</v>
      </c>
      <c r="E658" s="528">
        <v>43918</v>
      </c>
      <c r="F658" s="531" t="str">
        <f ca="1">DOC</f>
        <v>054</v>
      </c>
      <c r="G658" s="532" t="s">
        <v>99</v>
      </c>
      <c r="H658" s="533" t="s">
        <v>253</v>
      </c>
      <c r="I658" s="534">
        <v>1</v>
      </c>
      <c r="J658" s="535">
        <v>7400</v>
      </c>
      <c r="K658" s="535">
        <v>4240</v>
      </c>
      <c r="L658" s="536">
        <f ca="1">NET</f>
        <v>3160</v>
      </c>
      <c r="M658" s="222" t="str">
        <f ca="1">DL</f>
        <v>DARAT</v>
      </c>
      <c r="Q658" s="346"/>
    </row>
    <row r="659" spans="2:17" ht="15">
      <c r="B659" s="530" t="str">
        <f ca="1">SUPPAJA</f>
        <v>RUSLAN JAYA, SH</v>
      </c>
      <c r="C659" s="338">
        <f ca="1">IF(COUNTIFS($B$3:B659,DATAKBA[[#This Row],[NAMA SUPP]],$E$3:E659,DATAKBA[[#This Row],[TANGGAL]])&lt;&gt;1,0,1)</f>
        <v>1</v>
      </c>
      <c r="D659" s="222">
        <f t="shared" si="57"/>
        <v>3</v>
      </c>
      <c r="E659" s="528">
        <v>43918</v>
      </c>
      <c r="F659" s="531" t="str">
        <f ca="1">DOC</f>
        <v>052</v>
      </c>
      <c r="G659" s="532" t="s">
        <v>230</v>
      </c>
      <c r="H659" s="533" t="s">
        <v>255</v>
      </c>
      <c r="I659" s="534">
        <v>1</v>
      </c>
      <c r="J659" s="535">
        <v>13270</v>
      </c>
      <c r="K659" s="535">
        <v>4820</v>
      </c>
      <c r="L659" s="536">
        <f ca="1">NET</f>
        <v>8450</v>
      </c>
      <c r="M659" s="222" t="str">
        <f ca="1">DL</f>
        <v>DARAT</v>
      </c>
      <c r="Q659" s="346"/>
    </row>
    <row r="660" spans="2:17" ht="15">
      <c r="B660" s="530" t="str">
        <f ca="1">SUPPAJA</f>
        <v>YANADI</v>
      </c>
      <c r="C660" s="338">
        <f ca="1">IF(COUNTIFS($B$3:B660,DATAKBA[[#This Row],[NAMA SUPP]],$E$3:E660,DATAKBA[[#This Row],[TANGGAL]])&lt;&gt;1,0,1)</f>
        <v>1</v>
      </c>
      <c r="D660" s="222">
        <f t="shared" si="57"/>
        <v>4</v>
      </c>
      <c r="E660" s="528">
        <v>43918</v>
      </c>
      <c r="F660" s="531" t="str">
        <f ca="1">DOC</f>
        <v>053</v>
      </c>
      <c r="G660" s="532" t="s">
        <v>137</v>
      </c>
      <c r="H660" s="533" t="s">
        <v>265</v>
      </c>
      <c r="I660" s="534">
        <v>3</v>
      </c>
      <c r="J660" s="535">
        <v>38250</v>
      </c>
      <c r="K660" s="535">
        <v>14740</v>
      </c>
      <c r="L660" s="536">
        <f ca="1">NET</f>
        <v>23510</v>
      </c>
      <c r="M660" s="222" t="str">
        <f ca="1">DL</f>
        <v>DARAT</v>
      </c>
      <c r="Q660" s="346"/>
    </row>
    <row r="661" spans="2:17" ht="15">
      <c r="B661" s="530" t="str">
        <f ca="1">SUPPAJA</f>
        <v>HENDRI</v>
      </c>
      <c r="C661" s="338">
        <f ca="1">IF(COUNTIFS($B$3:B661,DATAKBA[[#This Row],[NAMA SUPP]],$E$3:E661,DATAKBA[[#This Row],[TANGGAL]])&lt;&gt;1,0,1)</f>
        <v>1</v>
      </c>
      <c r="D661" s="222">
        <f t="shared" si="57"/>
        <v>5</v>
      </c>
      <c r="E661" s="528">
        <v>43918</v>
      </c>
      <c r="F661" s="531" t="str">
        <f ca="1">DOC</f>
        <v>034</v>
      </c>
      <c r="G661" s="532" t="s">
        <v>445</v>
      </c>
      <c r="H661" s="533" t="s">
        <v>255</v>
      </c>
      <c r="I661" s="534">
        <v>1</v>
      </c>
      <c r="J661" s="535">
        <v>7800</v>
      </c>
      <c r="K661" s="535">
        <v>3860</v>
      </c>
      <c r="L661" s="536">
        <f ca="1">NET</f>
        <v>3940</v>
      </c>
      <c r="M661" s="222" t="str">
        <f ca="1">DL</f>
        <v>LAUT</v>
      </c>
      <c r="Q661" s="346"/>
    </row>
    <row r="662" spans="2:17" ht="15">
      <c r="B662" s="530" t="str">
        <f ca="1">SUPPAJA</f>
        <v>ERAWATI</v>
      </c>
      <c r="C662" s="338">
        <f ca="1">IF(COUNTIFS($B$3:B662,DATAKBA[[#This Row],[NAMA SUPP]],$E$3:E662,DATAKBA[[#This Row],[TANGGAL]])&lt;&gt;1,0,1)</f>
        <v>1</v>
      </c>
      <c r="D662" s="222">
        <f t="shared" si="57"/>
        <v>1</v>
      </c>
      <c r="E662" s="528">
        <v>43920</v>
      </c>
      <c r="F662" s="540" t="str">
        <f ca="1">DOC</f>
        <v>066</v>
      </c>
      <c r="G662" s="537" t="s">
        <v>220</v>
      </c>
      <c r="H662" s="538" t="s">
        <v>253</v>
      </c>
      <c r="I662" s="539">
        <v>4</v>
      </c>
      <c r="J662" s="535">
        <v>48840</v>
      </c>
      <c r="K662" s="535">
        <v>19110</v>
      </c>
      <c r="L662" s="536">
        <f ca="1">NET</f>
        <v>29730</v>
      </c>
      <c r="M662" s="222" t="str">
        <f ca="1">DL</f>
        <v>DARAT</v>
      </c>
      <c r="Q662" s="346"/>
    </row>
    <row r="663" spans="2:17" ht="15">
      <c r="B663" s="530" t="str">
        <f ca="1">SUPPAJA</f>
        <v>INDRAYANI</v>
      </c>
      <c r="C663" s="338">
        <f ca="1">IF(COUNTIFS($B$3:B663,DATAKBA[[#This Row],[NAMA SUPP]],$E$3:E663,DATAKBA[[#This Row],[TANGGAL]])&lt;&gt;1,0,1)</f>
        <v>1</v>
      </c>
      <c r="D663" s="222">
        <f t="shared" si="57"/>
        <v>2</v>
      </c>
      <c r="E663" s="528">
        <v>43920</v>
      </c>
      <c r="F663" s="540" t="str">
        <f ca="1">DOC</f>
        <v>055</v>
      </c>
      <c r="G663" s="537" t="s">
        <v>99</v>
      </c>
      <c r="H663" s="538" t="s">
        <v>253</v>
      </c>
      <c r="I663" s="539">
        <v>1</v>
      </c>
      <c r="J663" s="535">
        <v>11820</v>
      </c>
      <c r="K663" s="535">
        <v>4610</v>
      </c>
      <c r="L663" s="536">
        <f ca="1">NET</f>
        <v>7210</v>
      </c>
      <c r="M663" s="222" t="str">
        <f ca="1">DL</f>
        <v>DARAT</v>
      </c>
      <c r="Q663" s="346"/>
    </row>
    <row r="664" spans="2:17" ht="15">
      <c r="B664" s="530" t="str">
        <f ca="1">SUPPAJA</f>
        <v>RUSLAN JAYA, SH</v>
      </c>
      <c r="C664" s="338">
        <f ca="1">IF(COUNTIFS($B$3:B664,DATAKBA[[#This Row],[NAMA SUPP]],$E$3:E664,DATAKBA[[#This Row],[TANGGAL]])&lt;&gt;1,0,1)</f>
        <v>1</v>
      </c>
      <c r="D664" s="222">
        <f t="shared" si="57"/>
        <v>3</v>
      </c>
      <c r="E664" s="528">
        <v>43920</v>
      </c>
      <c r="F664" s="540" t="str">
        <f ca="1">DOC</f>
        <v>053</v>
      </c>
      <c r="G664" s="537" t="s">
        <v>230</v>
      </c>
      <c r="H664" s="538" t="s">
        <v>255</v>
      </c>
      <c r="I664" s="539">
        <v>3</v>
      </c>
      <c r="J664" s="535">
        <v>36700</v>
      </c>
      <c r="K664" s="535">
        <v>20000</v>
      </c>
      <c r="L664" s="536">
        <f ca="1">NET</f>
        <v>16700</v>
      </c>
      <c r="M664" s="222" t="str">
        <f ca="1">DL</f>
        <v>DARAT</v>
      </c>
      <c r="Q664" s="346"/>
    </row>
    <row r="665" spans="2:17" ht="15">
      <c r="B665" s="530" t="str">
        <f ca="1">SUPPAJA</f>
        <v>SAIRI</v>
      </c>
      <c r="C665" s="338">
        <f ca="1">IF(COUNTIFS($B$3:B665,DATAKBA[[#This Row],[NAMA SUPP]],$E$3:E665,DATAKBA[[#This Row],[TANGGAL]])&lt;&gt;1,0,1)</f>
        <v>1</v>
      </c>
      <c r="D665" s="222">
        <f t="shared" si="57"/>
        <v>4</v>
      </c>
      <c r="E665" s="528">
        <v>43920</v>
      </c>
      <c r="F665" s="540" t="str">
        <f ca="1">DOC</f>
        <v>029</v>
      </c>
      <c r="G665" s="537" t="s">
        <v>78</v>
      </c>
      <c r="H665" s="538" t="s">
        <v>267</v>
      </c>
      <c r="I665" s="539">
        <v>1</v>
      </c>
      <c r="J665" s="535">
        <v>4780</v>
      </c>
      <c r="K665" s="535">
        <v>1650</v>
      </c>
      <c r="L665" s="536">
        <f ca="1">NET</f>
        <v>3130</v>
      </c>
      <c r="M665" s="222" t="str">
        <f ca="1">DL</f>
        <v>DARAT</v>
      </c>
      <c r="Q665" s="346"/>
    </row>
    <row r="666" spans="2:17" ht="15">
      <c r="B666" s="530" t="str">
        <f ca="1">SUPPAJA</f>
        <v>YANADI</v>
      </c>
      <c r="C666" s="338">
        <f ca="1">IF(COUNTIFS($B$3:B666,DATAKBA[[#This Row],[NAMA SUPP]],$E$3:E666,DATAKBA[[#This Row],[TANGGAL]])&lt;&gt;1,0,1)</f>
        <v>1</v>
      </c>
      <c r="D666" s="222">
        <f t="shared" si="57"/>
        <v>5</v>
      </c>
      <c r="E666" s="528">
        <v>43920</v>
      </c>
      <c r="F666" s="540" t="str">
        <f ca="1">DOC</f>
        <v>054</v>
      </c>
      <c r="G666" s="537" t="s">
        <v>137</v>
      </c>
      <c r="H666" s="538" t="s">
        <v>265</v>
      </c>
      <c r="I666" s="539">
        <v>3</v>
      </c>
      <c r="J666" s="535">
        <v>20300</v>
      </c>
      <c r="K666" s="535">
        <v>8830</v>
      </c>
      <c r="L666" s="536">
        <f ca="1">NET</f>
        <v>11470</v>
      </c>
      <c r="M666" s="222" t="str">
        <f ca="1">DL</f>
        <v>DARAT</v>
      </c>
      <c r="Q666" s="346"/>
    </row>
    <row r="667" spans="2:17" ht="15">
      <c r="B667" s="530" t="str">
        <f ca="1">SUPPAJA</f>
        <v>DINI CHAIRANI</v>
      </c>
      <c r="C667" s="338">
        <f ca="1">IF(COUNTIFS($B$3:B667,DATAKBA[[#This Row],[NAMA SUPP]],$E$3:E667,DATAKBA[[#This Row],[TANGGAL]])&lt;&gt;1,0,1)</f>
        <v>1</v>
      </c>
      <c r="D667" s="222">
        <f t="shared" si="57"/>
        <v>6</v>
      </c>
      <c r="E667" s="528">
        <v>43920</v>
      </c>
      <c r="F667" s="540" t="str">
        <f ca="1">DOC</f>
        <v>042</v>
      </c>
      <c r="G667" s="537" t="s">
        <v>228</v>
      </c>
      <c r="H667" s="538" t="s">
        <v>268</v>
      </c>
      <c r="I667" s="539">
        <v>2</v>
      </c>
      <c r="J667" s="535">
        <v>14260</v>
      </c>
      <c r="K667" s="535">
        <v>7880</v>
      </c>
      <c r="L667" s="536">
        <f ca="1">NET</f>
        <v>6380</v>
      </c>
      <c r="M667" s="222" t="str">
        <f ca="1">DL</f>
        <v>LAUT</v>
      </c>
      <c r="Q667" s="346"/>
    </row>
    <row r="668" spans="2:17" ht="15">
      <c r="B668" s="530" t="str">
        <f ca="1">SUPPAJA</f>
        <v>DINI CHAIRANI</v>
      </c>
      <c r="C668" s="338">
        <f ca="1">IF(COUNTIFS($B$3:B668,DATAKBA[[#This Row],[NAMA SUPP]],$E$3:E668,DATAKBA[[#This Row],[TANGGAL]])&lt;&gt;1,0,1)</f>
        <v>0</v>
      </c>
      <c r="D668" s="222">
        <f t="shared" si="57"/>
        <v>7</v>
      </c>
      <c r="E668" s="528">
        <v>43920</v>
      </c>
      <c r="F668" s="531" t="str">
        <f ca="1">DOC</f>
        <v/>
      </c>
      <c r="G668" s="537" t="s">
        <v>371</v>
      </c>
      <c r="H668" s="538" t="s">
        <v>268</v>
      </c>
      <c r="I668" s="539">
        <v>2</v>
      </c>
      <c r="J668" s="535">
        <v>15270</v>
      </c>
      <c r="K668" s="535">
        <v>7960</v>
      </c>
      <c r="L668" s="536">
        <f ca="1">NET</f>
        <v>7310</v>
      </c>
      <c r="M668" s="222" t="str">
        <f ca="1">DL</f>
        <v>LAUT</v>
      </c>
      <c r="Q668" s="346"/>
    </row>
    <row r="669" spans="2:17" ht="15">
      <c r="B669" s="530" t="str">
        <f ca="1">SUPPAJA</f>
        <v>HENDRI</v>
      </c>
      <c r="C669" s="338">
        <f ca="1">IF(COUNTIFS($B$3:B669,DATAKBA[[#This Row],[NAMA SUPP]],$E$3:E669,DATAKBA[[#This Row],[TANGGAL]])&lt;&gt;1,0,1)</f>
        <v>1</v>
      </c>
      <c r="D669" s="222">
        <f t="shared" si="57"/>
        <v>8</v>
      </c>
      <c r="E669" s="528">
        <v>43920</v>
      </c>
      <c r="F669" s="531" t="str">
        <f ca="1">DOC</f>
        <v>035</v>
      </c>
      <c r="G669" s="532" t="s">
        <v>446</v>
      </c>
      <c r="H669" s="520" t="s">
        <v>255</v>
      </c>
      <c r="I669" s="534">
        <v>1</v>
      </c>
      <c r="J669" s="535">
        <v>7280</v>
      </c>
      <c r="K669" s="535">
        <v>3940</v>
      </c>
      <c r="L669" s="536">
        <f ca="1">NET</f>
        <v>3340</v>
      </c>
      <c r="M669" s="222" t="str">
        <f ca="1">DL</f>
        <v>LAUT</v>
      </c>
      <c r="Q669" s="346"/>
    </row>
    <row r="670" spans="2:17" ht="15">
      <c r="B670" s="530" t="str">
        <f ca="1">SUPPAJA</f>
        <v>HENDRI</v>
      </c>
      <c r="C670" s="338">
        <f ca="1">IF(COUNTIFS($B$3:B670,DATAKBA[[#This Row],[NAMA SUPP]],$E$3:E670,DATAKBA[[#This Row],[TANGGAL]])&lt;&gt;1,0,1)</f>
        <v>0</v>
      </c>
      <c r="D670" s="222">
        <f t="shared" si="57"/>
        <v>9</v>
      </c>
      <c r="E670" s="528">
        <v>43920</v>
      </c>
      <c r="F670" s="531" t="str">
        <f ca="1">DOC</f>
        <v/>
      </c>
      <c r="G670" s="532" t="s">
        <v>254</v>
      </c>
      <c r="H670" s="520" t="s">
        <v>255</v>
      </c>
      <c r="I670" s="534">
        <v>1</v>
      </c>
      <c r="J670" s="535">
        <v>7050</v>
      </c>
      <c r="K670" s="535">
        <v>3890</v>
      </c>
      <c r="L670" s="536">
        <f ca="1">NET</f>
        <v>3160</v>
      </c>
      <c r="M670" s="222" t="str">
        <f ca="1">DL</f>
        <v>LAUT</v>
      </c>
      <c r="Q670" s="346"/>
    </row>
    <row r="671" spans="2:17" ht="15">
      <c r="B671" s="530" t="str">
        <f ca="1">SUPPAJA</f>
        <v>HENDRI</v>
      </c>
      <c r="C671" s="338">
        <f ca="1">IF(COUNTIFS($B$3:B671,DATAKBA[[#This Row],[NAMA SUPP]],$E$3:E671,DATAKBA[[#This Row],[TANGGAL]])&lt;&gt;1,0,1)</f>
        <v>0</v>
      </c>
      <c r="D671" s="222">
        <f t="shared" si="57"/>
        <v>10</v>
      </c>
      <c r="E671" s="528">
        <v>43920</v>
      </c>
      <c r="F671" s="540"/>
      <c r="G671" s="532" t="s">
        <v>335</v>
      </c>
      <c r="H671" s="520" t="s">
        <v>255</v>
      </c>
      <c r="I671" s="534">
        <v>2</v>
      </c>
      <c r="J671" s="535">
        <v>16570</v>
      </c>
      <c r="K671" s="535">
        <v>7780</v>
      </c>
      <c r="L671" s="536">
        <f ca="1">NET</f>
        <v>8790</v>
      </c>
      <c r="M671" s="222" t="str">
        <f ca="1">DL</f>
        <v>LAUT</v>
      </c>
      <c r="Q671" s="346"/>
    </row>
    <row r="672" spans="2:17" ht="15">
      <c r="B672" s="530" t="str">
        <f ca="1">SUPPAJA</f>
        <v>HENDRI</v>
      </c>
      <c r="C672" s="338">
        <f ca="1">IF(COUNTIFS($B$3:B672,DATAKBA[[#This Row],[NAMA SUPP]],$E$3:E672,DATAKBA[[#This Row],[TANGGAL]])&lt;&gt;1,0,1)</f>
        <v>1</v>
      </c>
      <c r="D672" s="222">
        <f>COUNTER_RUDI</f>
        <v>1</v>
      </c>
      <c r="E672" s="528">
        <v>43922</v>
      </c>
      <c r="F672" s="531" t="str">
        <f ca="1">DOC</f>
        <v>036</v>
      </c>
      <c r="G672" s="532" t="s">
        <v>447</v>
      </c>
      <c r="H672" s="533" t="s">
        <v>255</v>
      </c>
      <c r="I672" s="534">
        <v>1</v>
      </c>
      <c r="J672" s="535">
        <v>7930</v>
      </c>
      <c r="K672" s="535">
        <v>3940</v>
      </c>
      <c r="L672" s="536">
        <f ca="1">NET</f>
        <v>3990</v>
      </c>
      <c r="M672" s="222" t="str">
        <f ca="1">DL</f>
        <v>LAUT</v>
      </c>
      <c r="Q672" s="346"/>
    </row>
    <row r="673" spans="2:17" ht="15">
      <c r="B673" s="530" t="str">
        <f ca="1">SUPPAJA</f>
        <v>HENDRI</v>
      </c>
      <c r="C673" s="338">
        <f ca="1">IF(COUNTIFS($B$3:B673,DATAKBA[[#This Row],[NAMA SUPP]],$E$3:E673,DATAKBA[[#This Row],[TANGGAL]])&lt;&gt;1,0,1)</f>
        <v>0</v>
      </c>
      <c r="D673" s="222">
        <f>COUNTER_RUDI</f>
        <v>2</v>
      </c>
      <c r="E673" s="528">
        <v>43922</v>
      </c>
      <c r="F673" s="540" t="str">
        <f ca="1">DOC</f>
        <v/>
      </c>
      <c r="G673" s="537" t="s">
        <v>448</v>
      </c>
      <c r="H673" s="538" t="s">
        <v>255</v>
      </c>
      <c r="I673" s="539">
        <v>1</v>
      </c>
      <c r="J673" s="535">
        <v>5940</v>
      </c>
      <c r="K673" s="535">
        <v>3890</v>
      </c>
      <c r="L673" s="536">
        <f ca="1">NET</f>
        <v>2050</v>
      </c>
      <c r="M673" s="222" t="str">
        <f ca="1">DL</f>
        <v>LAUT</v>
      </c>
      <c r="Q673" s="346"/>
    </row>
    <row r="674" spans="2:17" ht="15">
      <c r="B674" s="530" t="str">
        <f ca="1">SUPPAJA</f>
        <v>HENDRI</v>
      </c>
      <c r="C674" s="338">
        <f ca="1">IF(COUNTIFS($B$3:B674,DATAKBA[[#This Row],[NAMA SUPP]],$E$3:E674,DATAKBA[[#This Row],[TANGGAL]])&lt;&gt;1,0,1)</f>
        <v>1</v>
      </c>
      <c r="D674" s="222">
        <f>COUNTER_RUDI</f>
        <v>1</v>
      </c>
      <c r="E674" s="528">
        <v>43923</v>
      </c>
      <c r="F674" s="548" t="s">
        <v>449</v>
      </c>
      <c r="G674" s="537" t="s">
        <v>443</v>
      </c>
      <c r="H674" s="538" t="s">
        <v>255</v>
      </c>
      <c r="I674" s="539">
        <v>1</v>
      </c>
      <c r="J674" s="535">
        <v>7180</v>
      </c>
      <c r="K674" s="535">
        <v>3940</v>
      </c>
      <c r="L674" s="536">
        <f ca="1">NET</f>
        <v>3240</v>
      </c>
      <c r="M674" s="222" t="str">
        <f ca="1">DL</f>
        <v>LAUT</v>
      </c>
      <c r="Q674" s="346"/>
    </row>
  </sheetData>
  <sortState ref="G88:L90">
    <sortCondition ref="G88:G90"/>
  </sortState>
  <conditionalFormatting sqref="B3:B674">
    <cfRule type="expression" dxfId="79" priority="1">
      <formula>IF(COUNTIF(REL,B3)=1,FALSE,IF(B3="",FALSE,TRUE))</formula>
    </cfRule>
  </conditionalFormatting>
  <printOptions horizontalCentered="1"/>
  <pageMargins left="0.25" right="0.25" top="0.25" bottom="0.25" header="0.25" footer="0.25"/>
  <pageSetup scale="80" orientation="landscape" horizontalDpi="180" verticalDpi="18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00B050"/>
  </sheetPr>
  <dimension ref="B1:P3"/>
  <sheetViews>
    <sheetView workbookViewId="0">
      <pane xSplit="6" ySplit="2" topLeftCell="G3" activePane="bottomRight" state="frozen"/>
      <selection activeCell="F18" sqref="F18"/>
      <selection pane="topRight" activeCell="F18" sqref="F18"/>
      <selection pane="bottomLeft" activeCell="F18" sqref="F18"/>
      <selection pane="bottomRight" activeCell="F18" sqref="F18"/>
    </sheetView>
  </sheetViews>
  <sheetFormatPr defaultColWidth="9.140625" defaultRowHeight="12.75"/>
  <cols>
    <col min="1" max="1" width="3.7109375" style="205" customWidth="1"/>
    <col min="2" max="2" width="30.5703125" style="205" bestFit="1" customWidth="1"/>
    <col min="3" max="3" width="5.140625" style="205" hidden="1" customWidth="1"/>
    <col min="4" max="4" width="4.7109375" style="205" bestFit="1" customWidth="1"/>
    <col min="5" max="5" width="11.85546875" style="205" bestFit="1" customWidth="1"/>
    <col min="6" max="6" width="5.85546875" style="205" bestFit="1" customWidth="1"/>
    <col min="7" max="7" width="50.7109375" style="205" customWidth="1"/>
    <col min="8" max="8" width="11" style="205" customWidth="1"/>
    <col min="9" max="9" width="4.42578125" style="205" customWidth="1"/>
    <col min="10" max="10" width="11.7109375" style="205" customWidth="1"/>
    <col min="11" max="11" width="10.5703125" style="205" bestFit="1" customWidth="1"/>
    <col min="12" max="12" width="10.5703125" style="205" customWidth="1"/>
    <col min="13" max="13" width="10.7109375" style="223" customWidth="1"/>
    <col min="14" max="14" width="9.140625" style="205"/>
    <col min="15" max="15" width="11" style="205" bestFit="1" customWidth="1"/>
    <col min="16" max="16384" width="9.140625" style="205"/>
  </cols>
  <sheetData>
    <row r="1" spans="2:16">
      <c r="G1" s="212"/>
      <c r="M1" s="205"/>
    </row>
    <row r="2" spans="2:16" ht="29.25" customHeight="1">
      <c r="B2" s="217" t="s">
        <v>197</v>
      </c>
      <c r="C2" s="217" t="s">
        <v>191</v>
      </c>
      <c r="D2" s="217" t="s">
        <v>120</v>
      </c>
      <c r="E2" s="218" t="s">
        <v>121</v>
      </c>
      <c r="F2" s="217" t="s">
        <v>189</v>
      </c>
      <c r="G2" s="218" t="s">
        <v>198</v>
      </c>
      <c r="H2" s="218" t="s">
        <v>192</v>
      </c>
      <c r="I2" s="218" t="s">
        <v>193</v>
      </c>
      <c r="J2" s="218" t="s">
        <v>194</v>
      </c>
      <c r="K2" s="218" t="s">
        <v>195</v>
      </c>
      <c r="L2" s="217" t="s">
        <v>196</v>
      </c>
      <c r="M2" s="227" t="s">
        <v>201</v>
      </c>
      <c r="N2" s="265" t="s">
        <v>221</v>
      </c>
      <c r="O2" s="265" t="s">
        <v>222</v>
      </c>
      <c r="P2" s="265" t="s">
        <v>223</v>
      </c>
    </row>
    <row r="3" spans="2:16" ht="15">
      <c r="B3" s="245"/>
      <c r="C3" s="211"/>
      <c r="D3" s="210"/>
      <c r="E3" s="206"/>
      <c r="F3" s="210"/>
      <c r="G3" s="207"/>
      <c r="H3" s="209"/>
      <c r="I3" s="208"/>
      <c r="J3" s="213"/>
      <c r="K3" s="213"/>
      <c r="L3" s="214"/>
      <c r="M3" s="222"/>
    </row>
  </sheetData>
  <conditionalFormatting sqref="B3">
    <cfRule type="expression" dxfId="61" priority="2">
      <formula>IF(COUNTIF(REL,B3)=1,FALSE,IF(B3="",FALSE,TRUE))</formula>
    </cfRule>
  </conditionalFormatting>
  <pageMargins left="0.7" right="0.7" top="0.75" bottom="0.75" header="0.3" footer="0.3"/>
  <pageSetup orientation="portrait" horizontalDpi="180" verticalDpi="18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tabColor rgb="FF7030A0"/>
  </sheetPr>
  <dimension ref="B1:M3"/>
  <sheetViews>
    <sheetView zoomScale="115" zoomScaleNormal="115" workbookViewId="0">
      <pane xSplit="6" ySplit="2" topLeftCell="G3" activePane="bottomRight" state="frozen"/>
      <selection activeCell="F18" sqref="F18"/>
      <selection pane="topRight" activeCell="F18" sqref="F18"/>
      <selection pane="bottomLeft" activeCell="F18" sqref="F18"/>
      <selection pane="bottomRight" activeCell="F18" sqref="F18"/>
    </sheetView>
  </sheetViews>
  <sheetFormatPr defaultColWidth="9.140625" defaultRowHeight="12.75"/>
  <cols>
    <col min="1" max="1" width="3.7109375" style="205" customWidth="1"/>
    <col min="2" max="2" width="25.5703125" style="205" customWidth="1"/>
    <col min="3" max="3" width="5.140625" style="205" hidden="1" customWidth="1"/>
    <col min="4" max="4" width="4.7109375" style="205" hidden="1" customWidth="1"/>
    <col min="5" max="5" width="13.28515625" style="205" customWidth="1"/>
    <col min="6" max="6" width="5.85546875" style="205" bestFit="1" customWidth="1"/>
    <col min="7" max="7" width="26" style="205" bestFit="1" customWidth="1"/>
    <col min="8" max="8" width="9.42578125" style="205" bestFit="1" customWidth="1"/>
    <col min="9" max="9" width="4.42578125" style="205" customWidth="1"/>
    <col min="10" max="11" width="11.140625" style="205" bestFit="1" customWidth="1"/>
    <col min="12" max="12" width="11.85546875" style="205" customWidth="1"/>
    <col min="13" max="13" width="9.140625" style="223" customWidth="1"/>
    <col min="14" max="14" width="9.140625" style="205" customWidth="1"/>
    <col min="15" max="16384" width="9.140625" style="205"/>
  </cols>
  <sheetData>
    <row r="1" spans="2:13">
      <c r="G1" s="212"/>
      <c r="M1" s="205"/>
    </row>
    <row r="2" spans="2:13" ht="29.25" customHeight="1">
      <c r="B2" s="217" t="s">
        <v>197</v>
      </c>
      <c r="C2" s="217" t="s">
        <v>191</v>
      </c>
      <c r="D2" s="217" t="s">
        <v>120</v>
      </c>
      <c r="E2" s="218" t="s">
        <v>121</v>
      </c>
      <c r="F2" s="217" t="s">
        <v>189</v>
      </c>
      <c r="G2" s="218" t="s">
        <v>198</v>
      </c>
      <c r="H2" s="218" t="s">
        <v>192</v>
      </c>
      <c r="I2" s="218" t="s">
        <v>193</v>
      </c>
      <c r="J2" s="218" t="s">
        <v>194</v>
      </c>
      <c r="K2" s="218" t="s">
        <v>195</v>
      </c>
      <c r="L2" s="217" t="s">
        <v>196</v>
      </c>
      <c r="M2" s="227" t="s">
        <v>201</v>
      </c>
    </row>
    <row r="3" spans="2:13" ht="15">
      <c r="B3" s="215"/>
      <c r="C3" s="211"/>
      <c r="D3" s="210"/>
      <c r="E3" s="206"/>
      <c r="F3" s="244"/>
      <c r="G3" s="207"/>
      <c r="H3" s="209"/>
      <c r="I3" s="208"/>
      <c r="J3" s="213"/>
      <c r="K3" s="213"/>
      <c r="L3" s="214"/>
      <c r="M3" s="222"/>
    </row>
  </sheetData>
  <conditionalFormatting sqref="B3">
    <cfRule type="expression" dxfId="43" priority="1">
      <formula>IF(COUNTIF(REL,B3)=1,FALSE,IF(B3="",FALSE,TRUE))</formula>
    </cfRule>
  </conditionalFormatting>
  <pageMargins left="0.7" right="0.7" top="0.75" bottom="0.75" header="0.3" footer="0.3"/>
  <pageSetup orientation="portrait" horizontalDpi="180" verticalDpi="180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C00000"/>
  </sheetPr>
  <dimension ref="B1:R382"/>
  <sheetViews>
    <sheetView tabSelected="1"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F20" sqref="F20"/>
    </sheetView>
  </sheetViews>
  <sheetFormatPr defaultRowHeight="12.75"/>
  <cols>
    <col min="1" max="1" width="2.42578125" customWidth="1"/>
    <col min="2" max="2" width="7.140625" customWidth="1"/>
    <col min="3" max="3" width="13.140625" bestFit="1" customWidth="1"/>
    <col min="4" max="16" width="14.28515625" customWidth="1"/>
    <col min="17" max="17" width="13.85546875" bestFit="1" customWidth="1"/>
  </cols>
  <sheetData>
    <row r="1" spans="2:17" ht="13.5" thickBot="1"/>
    <row r="2" spans="2:17" ht="16.5" customHeight="1" thickTop="1">
      <c r="B2" s="565" t="s">
        <v>120</v>
      </c>
      <c r="C2" s="568" t="s">
        <v>121</v>
      </c>
      <c r="D2" s="575" t="s">
        <v>109</v>
      </c>
      <c r="E2" s="576"/>
      <c r="F2" s="576"/>
      <c r="G2" s="576"/>
      <c r="H2" s="576"/>
      <c r="I2" s="576"/>
      <c r="J2" s="576"/>
      <c r="K2" s="577"/>
      <c r="L2" s="560" t="s">
        <v>116</v>
      </c>
      <c r="M2" s="571" t="s">
        <v>117</v>
      </c>
      <c r="N2" s="572"/>
      <c r="O2" s="560" t="s">
        <v>118</v>
      </c>
      <c r="P2" s="563" t="s">
        <v>233</v>
      </c>
      <c r="Q2" s="557" t="s">
        <v>119</v>
      </c>
    </row>
    <row r="3" spans="2:17" ht="16.5" customHeight="1">
      <c r="B3" s="566"/>
      <c r="C3" s="569"/>
      <c r="D3" s="569" t="s">
        <v>110</v>
      </c>
      <c r="E3" s="569"/>
      <c r="F3" s="569" t="s">
        <v>113</v>
      </c>
      <c r="G3" s="569"/>
      <c r="H3" s="569" t="s">
        <v>114</v>
      </c>
      <c r="I3" s="569"/>
      <c r="J3" s="569" t="s">
        <v>115</v>
      </c>
      <c r="K3" s="569"/>
      <c r="L3" s="561"/>
      <c r="M3" s="573"/>
      <c r="N3" s="574"/>
      <c r="O3" s="561"/>
      <c r="P3" s="564"/>
      <c r="Q3" s="558"/>
    </row>
    <row r="4" spans="2:17" ht="16.5" customHeight="1">
      <c r="B4" s="567"/>
      <c r="C4" s="570"/>
      <c r="D4" s="231" t="s">
        <v>111</v>
      </c>
      <c r="E4" s="231" t="s">
        <v>112</v>
      </c>
      <c r="F4" s="231" t="s">
        <v>111</v>
      </c>
      <c r="G4" s="231" t="s">
        <v>112</v>
      </c>
      <c r="H4" s="231" t="s">
        <v>111</v>
      </c>
      <c r="I4" s="231" t="s">
        <v>112</v>
      </c>
      <c r="J4" s="231" t="s">
        <v>111</v>
      </c>
      <c r="K4" s="231" t="s">
        <v>112</v>
      </c>
      <c r="L4" s="562"/>
      <c r="M4" s="231" t="s">
        <v>111</v>
      </c>
      <c r="N4" s="231" t="s">
        <v>112</v>
      </c>
      <c r="O4" s="562"/>
      <c r="P4" s="564"/>
      <c r="Q4" s="559"/>
    </row>
    <row r="5" spans="2:17" ht="13.5" thickBot="1">
      <c r="B5" s="237" t="s">
        <v>202</v>
      </c>
      <c r="C5" s="238" t="s">
        <v>203</v>
      </c>
      <c r="D5" s="238" t="s">
        <v>204</v>
      </c>
      <c r="E5" s="238" t="s">
        <v>205</v>
      </c>
      <c r="F5" s="238" t="s">
        <v>206</v>
      </c>
      <c r="G5" s="238" t="s">
        <v>207</v>
      </c>
      <c r="H5" s="238" t="s">
        <v>208</v>
      </c>
      <c r="I5" s="238" t="s">
        <v>209</v>
      </c>
      <c r="J5" s="238" t="s">
        <v>210</v>
      </c>
      <c r="K5" s="238" t="s">
        <v>211</v>
      </c>
      <c r="L5" s="239" t="s">
        <v>212</v>
      </c>
      <c r="M5" s="238" t="s">
        <v>213</v>
      </c>
      <c r="N5" s="238" t="s">
        <v>214</v>
      </c>
      <c r="O5" s="239" t="s">
        <v>215</v>
      </c>
      <c r="P5" s="240" t="s">
        <v>232</v>
      </c>
      <c r="Q5" s="238" t="s">
        <v>216</v>
      </c>
    </row>
    <row r="6" spans="2:17" ht="20.100000000000001" customHeight="1" thickTop="1">
      <c r="B6" s="229">
        <v>1</v>
      </c>
      <c r="C6" s="203">
        <v>43831</v>
      </c>
      <c r="D6" s="228">
        <f ca="1">JAD</f>
        <v>0</v>
      </c>
      <c r="E6" s="228">
        <f ca="1">JAL</f>
        <v>0</v>
      </c>
      <c r="F6" s="233"/>
      <c r="G6" s="233"/>
      <c r="H6" s="228">
        <f ca="1">BD</f>
        <v>0</v>
      </c>
      <c r="I6" s="228">
        <f ca="1">BL</f>
        <v>0</v>
      </c>
      <c r="J6" s="228">
        <f ca="1">BSD</f>
        <v>0</v>
      </c>
      <c r="K6" s="228">
        <f ca="1">BSL</f>
        <v>0</v>
      </c>
      <c r="L6" s="233"/>
      <c r="M6" s="233"/>
      <c r="N6" s="233"/>
      <c r="O6" s="233"/>
      <c r="P6" s="233">
        <v>0</v>
      </c>
      <c r="Q6" s="203" t="s">
        <v>250</v>
      </c>
    </row>
    <row r="7" spans="2:17" ht="20.100000000000001" customHeight="1">
      <c r="B7" s="230">
        <v>2</v>
      </c>
      <c r="C7" s="204">
        <f>+C6+1</f>
        <v>43832</v>
      </c>
      <c r="D7" s="228">
        <f ca="1">JAD</f>
        <v>0</v>
      </c>
      <c r="E7" s="228">
        <f ca="1">JAL</f>
        <v>133620</v>
      </c>
      <c r="F7" s="234"/>
      <c r="G7" s="234"/>
      <c r="H7" s="228">
        <f ca="1">BD</f>
        <v>0</v>
      </c>
      <c r="I7" s="228">
        <f ca="1">BL</f>
        <v>0</v>
      </c>
      <c r="J7" s="228">
        <f ca="1">BSD</f>
        <v>0</v>
      </c>
      <c r="K7" s="228">
        <f ca="1">BSL</f>
        <v>0</v>
      </c>
      <c r="L7" s="234"/>
      <c r="M7" s="234"/>
      <c r="N7" s="234"/>
      <c r="O7" s="234"/>
      <c r="P7" s="234">
        <v>0</v>
      </c>
      <c r="Q7" s="235" t="s">
        <v>250</v>
      </c>
    </row>
    <row r="8" spans="2:17" ht="20.100000000000001" customHeight="1">
      <c r="B8" s="230">
        <f>+B7+1</f>
        <v>3</v>
      </c>
      <c r="C8" s="204">
        <f t="shared" ref="C8:C71" si="0">+C7+1</f>
        <v>43833</v>
      </c>
      <c r="D8" s="228">
        <f ca="1">JAD</f>
        <v>35710</v>
      </c>
      <c r="E8" s="228">
        <f ca="1">JAL</f>
        <v>89080</v>
      </c>
      <c r="F8" s="234"/>
      <c r="G8" s="234"/>
      <c r="H8" s="228">
        <f ca="1">BD</f>
        <v>0</v>
      </c>
      <c r="I8" s="228">
        <f ca="1">BL</f>
        <v>0</v>
      </c>
      <c r="J8" s="228">
        <f ca="1">BSD</f>
        <v>0</v>
      </c>
      <c r="K8" s="228">
        <f ca="1">BSL</f>
        <v>0</v>
      </c>
      <c r="L8" s="234"/>
      <c r="M8" s="234"/>
      <c r="N8" s="234"/>
      <c r="O8" s="234"/>
      <c r="P8" s="234">
        <v>0</v>
      </c>
      <c r="Q8" s="235" t="s">
        <v>250</v>
      </c>
    </row>
    <row r="9" spans="2:17" ht="20.100000000000001" customHeight="1">
      <c r="B9" s="230">
        <f t="shared" ref="B9:C72" si="1">+B8+1</f>
        <v>4</v>
      </c>
      <c r="C9" s="204">
        <f t="shared" si="0"/>
        <v>43834</v>
      </c>
      <c r="D9" s="228">
        <f ca="1">JAD</f>
        <v>13470</v>
      </c>
      <c r="E9" s="228">
        <f ca="1">JAL</f>
        <v>15450</v>
      </c>
      <c r="F9" s="234"/>
      <c r="G9" s="234"/>
      <c r="H9" s="228">
        <f ca="1">BD</f>
        <v>0</v>
      </c>
      <c r="I9" s="228">
        <f ca="1">BL</f>
        <v>0</v>
      </c>
      <c r="J9" s="228">
        <f ca="1">BSD</f>
        <v>0</v>
      </c>
      <c r="K9" s="228">
        <f ca="1">BSL</f>
        <v>0</v>
      </c>
      <c r="L9" s="234"/>
      <c r="M9" s="234"/>
      <c r="N9" s="234"/>
      <c r="O9" s="234"/>
      <c r="P9" s="234">
        <v>0</v>
      </c>
      <c r="Q9" s="235" t="s">
        <v>250</v>
      </c>
    </row>
    <row r="10" spans="2:17" ht="20.100000000000001" customHeight="1">
      <c r="B10" s="230">
        <f t="shared" si="1"/>
        <v>5</v>
      </c>
      <c r="C10" s="204">
        <f t="shared" si="0"/>
        <v>43835</v>
      </c>
      <c r="D10" s="228">
        <f ca="1">JAD</f>
        <v>0</v>
      </c>
      <c r="E10" s="228">
        <f ca="1">JAL</f>
        <v>0</v>
      </c>
      <c r="F10" s="234"/>
      <c r="G10" s="234"/>
      <c r="H10" s="228">
        <f ca="1">BD</f>
        <v>0</v>
      </c>
      <c r="I10" s="228">
        <f ca="1">BL</f>
        <v>0</v>
      </c>
      <c r="J10" s="228">
        <f ca="1">BSD</f>
        <v>0</v>
      </c>
      <c r="K10" s="228">
        <f ca="1">BSL</f>
        <v>0</v>
      </c>
      <c r="L10" s="234"/>
      <c r="M10" s="234"/>
      <c r="N10" s="234"/>
      <c r="O10" s="234"/>
      <c r="P10" s="234">
        <v>0</v>
      </c>
      <c r="Q10" s="235" t="s">
        <v>250</v>
      </c>
    </row>
    <row r="11" spans="2:17" ht="20.100000000000001" customHeight="1">
      <c r="B11" s="230">
        <f t="shared" si="1"/>
        <v>6</v>
      </c>
      <c r="C11" s="204">
        <f t="shared" si="0"/>
        <v>43836</v>
      </c>
      <c r="D11" s="228">
        <f ca="1">JAD</f>
        <v>18130</v>
      </c>
      <c r="E11" s="228">
        <f ca="1">JAL</f>
        <v>112210</v>
      </c>
      <c r="F11" s="234"/>
      <c r="G11" s="234"/>
      <c r="H11" s="228">
        <f ca="1">BD</f>
        <v>0</v>
      </c>
      <c r="I11" s="228">
        <f ca="1">BL</f>
        <v>0</v>
      </c>
      <c r="J11" s="228">
        <f ca="1">BSD</f>
        <v>0</v>
      </c>
      <c r="K11" s="228">
        <f ca="1">BSL</f>
        <v>0</v>
      </c>
      <c r="L11" s="234"/>
      <c r="M11" s="234"/>
      <c r="N11" s="234"/>
      <c r="O11" s="234"/>
      <c r="P11" s="234">
        <v>0</v>
      </c>
      <c r="Q11" s="235" t="s">
        <v>250</v>
      </c>
    </row>
    <row r="12" spans="2:17" ht="20.100000000000001" customHeight="1">
      <c r="B12" s="230">
        <f t="shared" si="1"/>
        <v>7</v>
      </c>
      <c r="C12" s="204">
        <f t="shared" si="0"/>
        <v>43837</v>
      </c>
      <c r="D12" s="228">
        <f ca="1">JAD</f>
        <v>7690</v>
      </c>
      <c r="E12" s="228">
        <f ca="1">JAL</f>
        <v>34970</v>
      </c>
      <c r="F12" s="234"/>
      <c r="G12" s="234"/>
      <c r="H12" s="228">
        <f ca="1">BD</f>
        <v>0</v>
      </c>
      <c r="I12" s="228">
        <f ca="1">BL</f>
        <v>0</v>
      </c>
      <c r="J12" s="228">
        <f ca="1">BSD</f>
        <v>0</v>
      </c>
      <c r="K12" s="228">
        <f ca="1">BSL</f>
        <v>0</v>
      </c>
      <c r="L12" s="234"/>
      <c r="M12" s="234"/>
      <c r="N12" s="234"/>
      <c r="O12" s="234"/>
      <c r="P12" s="234">
        <v>0</v>
      </c>
      <c r="Q12" s="235" t="s">
        <v>250</v>
      </c>
    </row>
    <row r="13" spans="2:17" ht="20.100000000000001" customHeight="1">
      <c r="B13" s="230">
        <f t="shared" si="1"/>
        <v>8</v>
      </c>
      <c r="C13" s="204">
        <f t="shared" si="0"/>
        <v>43838</v>
      </c>
      <c r="D13" s="228">
        <f ca="1">JAD</f>
        <v>20190</v>
      </c>
      <c r="E13" s="228">
        <f ca="1">JAL</f>
        <v>41490</v>
      </c>
      <c r="F13" s="234"/>
      <c r="G13" s="234"/>
      <c r="H13" s="228">
        <f ca="1">BD</f>
        <v>0</v>
      </c>
      <c r="I13" s="228">
        <f ca="1">BL</f>
        <v>0</v>
      </c>
      <c r="J13" s="228">
        <f ca="1">BSD</f>
        <v>0</v>
      </c>
      <c r="K13" s="228">
        <f ca="1">BSL</f>
        <v>0</v>
      </c>
      <c r="L13" s="234"/>
      <c r="M13" s="234"/>
      <c r="N13" s="234"/>
      <c r="O13" s="234"/>
      <c r="P13" s="234">
        <v>0</v>
      </c>
      <c r="Q13" s="235" t="s">
        <v>250</v>
      </c>
    </row>
    <row r="14" spans="2:17" ht="20.100000000000001" customHeight="1">
      <c r="B14" s="230">
        <f t="shared" si="1"/>
        <v>9</v>
      </c>
      <c r="C14" s="204">
        <f t="shared" si="0"/>
        <v>43839</v>
      </c>
      <c r="D14" s="228">
        <f ca="1">JAD</f>
        <v>12610</v>
      </c>
      <c r="E14" s="228">
        <f ca="1">JAL</f>
        <v>107750</v>
      </c>
      <c r="F14" s="234"/>
      <c r="G14" s="234"/>
      <c r="H14" s="228">
        <f ca="1">BD</f>
        <v>0</v>
      </c>
      <c r="I14" s="228">
        <f ca="1">BL</f>
        <v>0</v>
      </c>
      <c r="J14" s="228">
        <f ca="1">BSD</f>
        <v>0</v>
      </c>
      <c r="K14" s="228">
        <f ca="1">BSL</f>
        <v>0</v>
      </c>
      <c r="L14" s="234"/>
      <c r="M14" s="234"/>
      <c r="N14" s="234"/>
      <c r="O14" s="234"/>
      <c r="P14" s="234">
        <v>0</v>
      </c>
      <c r="Q14" s="235" t="s">
        <v>250</v>
      </c>
    </row>
    <row r="15" spans="2:17" ht="20.100000000000001" customHeight="1">
      <c r="B15" s="230">
        <f t="shared" si="1"/>
        <v>10</v>
      </c>
      <c r="C15" s="204">
        <f t="shared" si="0"/>
        <v>43840</v>
      </c>
      <c r="D15" s="228">
        <f ca="1">JAD</f>
        <v>14500</v>
      </c>
      <c r="E15" s="228">
        <f ca="1">JAL</f>
        <v>0</v>
      </c>
      <c r="F15" s="234"/>
      <c r="G15" s="234"/>
      <c r="H15" s="228">
        <f ca="1">BD</f>
        <v>0</v>
      </c>
      <c r="I15" s="228">
        <f ca="1">BL</f>
        <v>0</v>
      </c>
      <c r="J15" s="228">
        <f ca="1">BSD</f>
        <v>0</v>
      </c>
      <c r="K15" s="228">
        <f ca="1">BSL</f>
        <v>0</v>
      </c>
      <c r="L15" s="234"/>
      <c r="M15" s="234"/>
      <c r="N15" s="234"/>
      <c r="O15" s="234"/>
      <c r="P15" s="234">
        <v>0</v>
      </c>
      <c r="Q15" s="235" t="s">
        <v>250</v>
      </c>
    </row>
    <row r="16" spans="2:17" ht="20.100000000000001" customHeight="1">
      <c r="B16" s="230">
        <f t="shared" si="1"/>
        <v>11</v>
      </c>
      <c r="C16" s="204">
        <f t="shared" si="0"/>
        <v>43841</v>
      </c>
      <c r="D16" s="228">
        <f ca="1">JAD</f>
        <v>12810</v>
      </c>
      <c r="E16" s="228">
        <f ca="1">JAL</f>
        <v>22380</v>
      </c>
      <c r="F16" s="234"/>
      <c r="G16" s="234"/>
      <c r="H16" s="228">
        <f ca="1">BD</f>
        <v>0</v>
      </c>
      <c r="I16" s="228">
        <f ca="1">BL</f>
        <v>0</v>
      </c>
      <c r="J16" s="228">
        <f ca="1">BSD</f>
        <v>0</v>
      </c>
      <c r="K16" s="228">
        <f ca="1">BSL</f>
        <v>0</v>
      </c>
      <c r="L16" s="234"/>
      <c r="M16" s="234"/>
      <c r="N16" s="234"/>
      <c r="O16" s="234"/>
      <c r="P16" s="234">
        <v>0</v>
      </c>
      <c r="Q16" s="235" t="s">
        <v>250</v>
      </c>
    </row>
    <row r="17" spans="2:17" ht="20.100000000000001" customHeight="1">
      <c r="B17" s="230">
        <f t="shared" si="1"/>
        <v>12</v>
      </c>
      <c r="C17" s="204">
        <f t="shared" si="0"/>
        <v>43842</v>
      </c>
      <c r="D17" s="228">
        <f ca="1">JAD</f>
        <v>0</v>
      </c>
      <c r="E17" s="228">
        <f ca="1">JAL</f>
        <v>0</v>
      </c>
      <c r="F17" s="234"/>
      <c r="G17" s="234"/>
      <c r="H17" s="228">
        <f ca="1">BD</f>
        <v>0</v>
      </c>
      <c r="I17" s="228">
        <f ca="1">BL</f>
        <v>0</v>
      </c>
      <c r="J17" s="228">
        <f ca="1">BSD</f>
        <v>0</v>
      </c>
      <c r="K17" s="228">
        <f ca="1">BSL</f>
        <v>0</v>
      </c>
      <c r="L17" s="234"/>
      <c r="M17" s="234"/>
      <c r="N17" s="234"/>
      <c r="O17" s="234"/>
      <c r="P17" s="234">
        <v>0</v>
      </c>
      <c r="Q17" s="235" t="s">
        <v>250</v>
      </c>
    </row>
    <row r="18" spans="2:17" ht="20.100000000000001" customHeight="1">
      <c r="B18" s="230">
        <f t="shared" si="1"/>
        <v>13</v>
      </c>
      <c r="C18" s="204">
        <f t="shared" si="0"/>
        <v>43843</v>
      </c>
      <c r="D18" s="228">
        <f ca="1">JAD</f>
        <v>17460</v>
      </c>
      <c r="E18" s="228">
        <f ca="1">JAL</f>
        <v>131240</v>
      </c>
      <c r="F18" s="234"/>
      <c r="G18" s="234"/>
      <c r="H18" s="228">
        <f ca="1">BD</f>
        <v>0</v>
      </c>
      <c r="I18" s="228">
        <f ca="1">BL</f>
        <v>0</v>
      </c>
      <c r="J18" s="228">
        <f ca="1">BSD</f>
        <v>0</v>
      </c>
      <c r="K18" s="228">
        <f ca="1">BSL</f>
        <v>0</v>
      </c>
      <c r="L18" s="234"/>
      <c r="M18" s="234"/>
      <c r="N18" s="234"/>
      <c r="O18" s="234"/>
      <c r="P18" s="234">
        <v>0</v>
      </c>
      <c r="Q18" s="235" t="s">
        <v>250</v>
      </c>
    </row>
    <row r="19" spans="2:17" ht="20.100000000000001" customHeight="1">
      <c r="B19" s="230">
        <f t="shared" si="1"/>
        <v>14</v>
      </c>
      <c r="C19" s="204">
        <f t="shared" si="0"/>
        <v>43844</v>
      </c>
      <c r="D19" s="228">
        <f ca="1">JAD</f>
        <v>9530</v>
      </c>
      <c r="E19" s="228">
        <f ca="1">JAL</f>
        <v>89520</v>
      </c>
      <c r="F19" s="234"/>
      <c r="G19" s="234"/>
      <c r="H19" s="228">
        <f ca="1">BD</f>
        <v>0</v>
      </c>
      <c r="I19" s="228">
        <f ca="1">BL</f>
        <v>0</v>
      </c>
      <c r="J19" s="228">
        <f ca="1">BSD</f>
        <v>0</v>
      </c>
      <c r="K19" s="228">
        <f ca="1">BSL</f>
        <v>0</v>
      </c>
      <c r="L19" s="234"/>
      <c r="M19" s="234"/>
      <c r="N19" s="234"/>
      <c r="O19" s="234"/>
      <c r="P19" s="234">
        <v>0</v>
      </c>
      <c r="Q19" s="235" t="s">
        <v>250</v>
      </c>
    </row>
    <row r="20" spans="2:17" ht="20.100000000000001" customHeight="1">
      <c r="B20" s="230">
        <f t="shared" si="1"/>
        <v>15</v>
      </c>
      <c r="C20" s="204">
        <f t="shared" si="0"/>
        <v>43845</v>
      </c>
      <c r="D20" s="228">
        <f ca="1">JAD</f>
        <v>6070</v>
      </c>
      <c r="E20" s="228">
        <f ca="1">JAL</f>
        <v>163820</v>
      </c>
      <c r="F20" s="234"/>
      <c r="G20" s="234"/>
      <c r="H20" s="228">
        <f ca="1">BD</f>
        <v>0</v>
      </c>
      <c r="I20" s="228">
        <f ca="1">BL</f>
        <v>0</v>
      </c>
      <c r="J20" s="228">
        <f ca="1">BSD</f>
        <v>0</v>
      </c>
      <c r="K20" s="228">
        <f ca="1">BSL</f>
        <v>0</v>
      </c>
      <c r="L20" s="234"/>
      <c r="M20" s="234"/>
      <c r="N20" s="234"/>
      <c r="O20" s="234"/>
      <c r="P20" s="234">
        <v>0</v>
      </c>
      <c r="Q20" s="235" t="s">
        <v>250</v>
      </c>
    </row>
    <row r="21" spans="2:17" ht="20.100000000000001" customHeight="1">
      <c r="B21" s="230">
        <f t="shared" si="1"/>
        <v>16</v>
      </c>
      <c r="C21" s="204">
        <f t="shared" si="0"/>
        <v>43846</v>
      </c>
      <c r="D21" s="228">
        <f ca="1">JAD</f>
        <v>7350</v>
      </c>
      <c r="E21" s="228">
        <f ca="1">JAL</f>
        <v>4600</v>
      </c>
      <c r="F21" s="234"/>
      <c r="G21" s="234"/>
      <c r="H21" s="228">
        <f ca="1">BD</f>
        <v>0</v>
      </c>
      <c r="I21" s="228">
        <f ca="1">BL</f>
        <v>0</v>
      </c>
      <c r="J21" s="228">
        <f ca="1">BSD</f>
        <v>0</v>
      </c>
      <c r="K21" s="228">
        <f ca="1">BSL</f>
        <v>0</v>
      </c>
      <c r="L21" s="234"/>
      <c r="M21" s="234"/>
      <c r="N21" s="234"/>
      <c r="O21" s="234"/>
      <c r="P21" s="234">
        <v>0</v>
      </c>
      <c r="Q21" s="235" t="s">
        <v>250</v>
      </c>
    </row>
    <row r="22" spans="2:17" ht="20.100000000000001" customHeight="1">
      <c r="B22" s="230">
        <f t="shared" si="1"/>
        <v>17</v>
      </c>
      <c r="C22" s="204">
        <f t="shared" si="0"/>
        <v>43847</v>
      </c>
      <c r="D22" s="228">
        <f ca="1">JAD</f>
        <v>10600</v>
      </c>
      <c r="E22" s="228">
        <f ca="1">JAL</f>
        <v>6070</v>
      </c>
      <c r="F22" s="234"/>
      <c r="G22" s="234"/>
      <c r="H22" s="228">
        <f ca="1">BD</f>
        <v>0</v>
      </c>
      <c r="I22" s="228">
        <f ca="1">BL</f>
        <v>0</v>
      </c>
      <c r="J22" s="228">
        <f ca="1">BSD</f>
        <v>0</v>
      </c>
      <c r="K22" s="228">
        <f ca="1">BSL</f>
        <v>0</v>
      </c>
      <c r="L22" s="234"/>
      <c r="M22" s="234"/>
      <c r="N22" s="234"/>
      <c r="O22" s="234"/>
      <c r="P22" s="234">
        <v>0</v>
      </c>
      <c r="Q22" s="235" t="s">
        <v>250</v>
      </c>
    </row>
    <row r="23" spans="2:17" ht="20.100000000000001" customHeight="1">
      <c r="B23" s="230">
        <f t="shared" si="1"/>
        <v>18</v>
      </c>
      <c r="C23" s="204">
        <f t="shared" si="0"/>
        <v>43848</v>
      </c>
      <c r="D23" s="228">
        <f ca="1">JAD</f>
        <v>25600</v>
      </c>
      <c r="E23" s="228">
        <f ca="1">JAL</f>
        <v>9540</v>
      </c>
      <c r="F23" s="234"/>
      <c r="G23" s="234"/>
      <c r="H23" s="228">
        <f ca="1">BD</f>
        <v>0</v>
      </c>
      <c r="I23" s="228">
        <f ca="1">BL</f>
        <v>0</v>
      </c>
      <c r="J23" s="228">
        <f ca="1">BSD</f>
        <v>0</v>
      </c>
      <c r="K23" s="228">
        <f ca="1">BSL</f>
        <v>0</v>
      </c>
      <c r="L23" s="234"/>
      <c r="M23" s="234"/>
      <c r="N23" s="234"/>
      <c r="O23" s="234"/>
      <c r="P23" s="234">
        <v>0</v>
      </c>
      <c r="Q23" s="235" t="s">
        <v>250</v>
      </c>
    </row>
    <row r="24" spans="2:17" ht="20.100000000000001" customHeight="1">
      <c r="B24" s="230">
        <f t="shared" si="1"/>
        <v>19</v>
      </c>
      <c r="C24" s="204">
        <f t="shared" si="0"/>
        <v>43849</v>
      </c>
      <c r="D24" s="228">
        <f ca="1">JAD</f>
        <v>0</v>
      </c>
      <c r="E24" s="228">
        <f ca="1">JAL</f>
        <v>0</v>
      </c>
      <c r="F24" s="234"/>
      <c r="G24" s="234"/>
      <c r="H24" s="228">
        <f ca="1">BD</f>
        <v>0</v>
      </c>
      <c r="I24" s="228">
        <f ca="1">BL</f>
        <v>0</v>
      </c>
      <c r="J24" s="228">
        <f ca="1">BSD</f>
        <v>0</v>
      </c>
      <c r="K24" s="228">
        <f ca="1">BSL</f>
        <v>0</v>
      </c>
      <c r="L24" s="234"/>
      <c r="M24" s="234"/>
      <c r="N24" s="234"/>
      <c r="O24" s="234"/>
      <c r="P24" s="234">
        <v>0</v>
      </c>
      <c r="Q24" s="235" t="s">
        <v>250</v>
      </c>
    </row>
    <row r="25" spans="2:17" ht="20.100000000000001" customHeight="1">
      <c r="B25" s="230">
        <f t="shared" si="1"/>
        <v>20</v>
      </c>
      <c r="C25" s="204">
        <f t="shared" si="0"/>
        <v>43850</v>
      </c>
      <c r="D25" s="228">
        <f ca="1">JAD</f>
        <v>33380</v>
      </c>
      <c r="E25" s="228">
        <f ca="1">JAL</f>
        <v>200880</v>
      </c>
      <c r="F25" s="234"/>
      <c r="G25" s="234"/>
      <c r="H25" s="228">
        <f ca="1">BD</f>
        <v>0</v>
      </c>
      <c r="I25" s="228">
        <f ca="1">BL</f>
        <v>0</v>
      </c>
      <c r="J25" s="228">
        <f ca="1">BSD</f>
        <v>0</v>
      </c>
      <c r="K25" s="228">
        <f ca="1">BSL</f>
        <v>0</v>
      </c>
      <c r="L25" s="234"/>
      <c r="M25" s="234"/>
      <c r="N25" s="234"/>
      <c r="O25" s="234"/>
      <c r="P25" s="234">
        <v>0</v>
      </c>
      <c r="Q25" s="235" t="s">
        <v>250</v>
      </c>
    </row>
    <row r="26" spans="2:17" ht="20.100000000000001" customHeight="1">
      <c r="B26" s="230">
        <f t="shared" si="1"/>
        <v>21</v>
      </c>
      <c r="C26" s="204">
        <f t="shared" si="0"/>
        <v>43851</v>
      </c>
      <c r="D26" s="228">
        <f ca="1">JAD</f>
        <v>30560</v>
      </c>
      <c r="E26" s="228">
        <f ca="1">JAL</f>
        <v>200620</v>
      </c>
      <c r="F26" s="234"/>
      <c r="G26" s="234"/>
      <c r="H26" s="228">
        <f ca="1">BD</f>
        <v>0</v>
      </c>
      <c r="I26" s="228">
        <f ca="1">BL</f>
        <v>0</v>
      </c>
      <c r="J26" s="228">
        <f ca="1">BSD</f>
        <v>0</v>
      </c>
      <c r="K26" s="228">
        <f ca="1">BSL</f>
        <v>0</v>
      </c>
      <c r="L26" s="234"/>
      <c r="M26" s="234"/>
      <c r="N26" s="234"/>
      <c r="O26" s="234"/>
      <c r="P26" s="234">
        <v>0</v>
      </c>
      <c r="Q26" s="235" t="s">
        <v>250</v>
      </c>
    </row>
    <row r="27" spans="2:17" ht="20.100000000000001" customHeight="1">
      <c r="B27" s="230">
        <f t="shared" si="1"/>
        <v>22</v>
      </c>
      <c r="C27" s="204">
        <f t="shared" si="0"/>
        <v>43852</v>
      </c>
      <c r="D27" s="228">
        <f ca="1">JAD</f>
        <v>62190</v>
      </c>
      <c r="E27" s="228">
        <f ca="1">JAL</f>
        <v>67340</v>
      </c>
      <c r="F27" s="234"/>
      <c r="G27" s="234"/>
      <c r="H27" s="228">
        <f ca="1">BD</f>
        <v>0</v>
      </c>
      <c r="I27" s="228">
        <f ca="1">BL</f>
        <v>0</v>
      </c>
      <c r="J27" s="228">
        <f ca="1">BSD</f>
        <v>0</v>
      </c>
      <c r="K27" s="228">
        <f ca="1">BSL</f>
        <v>0</v>
      </c>
      <c r="L27" s="234"/>
      <c r="M27" s="234"/>
      <c r="N27" s="234"/>
      <c r="O27" s="234"/>
      <c r="P27" s="234">
        <v>0</v>
      </c>
      <c r="Q27" s="235" t="s">
        <v>250</v>
      </c>
    </row>
    <row r="28" spans="2:17" ht="20.100000000000001" customHeight="1">
      <c r="B28" s="230">
        <f t="shared" si="1"/>
        <v>23</v>
      </c>
      <c r="C28" s="204">
        <f t="shared" si="0"/>
        <v>43853</v>
      </c>
      <c r="D28" s="228">
        <f ca="1">JAD</f>
        <v>64520</v>
      </c>
      <c r="E28" s="228">
        <f ca="1">JAL</f>
        <v>121960</v>
      </c>
      <c r="F28" s="234"/>
      <c r="G28" s="234"/>
      <c r="H28" s="228">
        <f ca="1">BD</f>
        <v>0</v>
      </c>
      <c r="I28" s="228">
        <f ca="1">BL</f>
        <v>0</v>
      </c>
      <c r="J28" s="228">
        <f ca="1">BSD</f>
        <v>0</v>
      </c>
      <c r="K28" s="228">
        <f ca="1">BSL</f>
        <v>0</v>
      </c>
      <c r="L28" s="234"/>
      <c r="M28" s="234"/>
      <c r="N28" s="234"/>
      <c r="O28" s="234"/>
      <c r="P28" s="234">
        <v>0</v>
      </c>
      <c r="Q28" s="235" t="s">
        <v>250</v>
      </c>
    </row>
    <row r="29" spans="2:17" ht="20.100000000000001" customHeight="1">
      <c r="B29" s="230">
        <f t="shared" si="1"/>
        <v>24</v>
      </c>
      <c r="C29" s="204">
        <f t="shared" si="0"/>
        <v>43854</v>
      </c>
      <c r="D29" s="228">
        <f ca="1">JAD</f>
        <v>63960</v>
      </c>
      <c r="E29" s="228">
        <f ca="1">JAL</f>
        <v>166060</v>
      </c>
      <c r="F29" s="234"/>
      <c r="G29" s="234"/>
      <c r="H29" s="228">
        <f ca="1">BD</f>
        <v>0</v>
      </c>
      <c r="I29" s="228">
        <f ca="1">BL</f>
        <v>0</v>
      </c>
      <c r="J29" s="228">
        <f ca="1">BSD</f>
        <v>0</v>
      </c>
      <c r="K29" s="228">
        <f ca="1">BSL</f>
        <v>0</v>
      </c>
      <c r="L29" s="234"/>
      <c r="M29" s="234"/>
      <c r="N29" s="234"/>
      <c r="O29" s="234"/>
      <c r="P29" s="234">
        <v>0</v>
      </c>
      <c r="Q29" s="235" t="s">
        <v>250</v>
      </c>
    </row>
    <row r="30" spans="2:17" ht="20.100000000000001" customHeight="1">
      <c r="B30" s="230">
        <f t="shared" si="1"/>
        <v>25</v>
      </c>
      <c r="C30" s="204">
        <f t="shared" si="0"/>
        <v>43855</v>
      </c>
      <c r="D30" s="228">
        <f ca="1">JAD</f>
        <v>0</v>
      </c>
      <c r="E30" s="228">
        <f ca="1">JAL</f>
        <v>0</v>
      </c>
      <c r="F30" s="234"/>
      <c r="G30" s="234"/>
      <c r="H30" s="228">
        <f ca="1">BD</f>
        <v>0</v>
      </c>
      <c r="I30" s="228">
        <f ca="1">BL</f>
        <v>0</v>
      </c>
      <c r="J30" s="228">
        <f ca="1">BSD</f>
        <v>0</v>
      </c>
      <c r="K30" s="228">
        <f ca="1">BSL</f>
        <v>0</v>
      </c>
      <c r="L30" s="234"/>
      <c r="M30" s="234"/>
      <c r="N30" s="234"/>
      <c r="O30" s="234"/>
      <c r="P30" s="234">
        <v>0</v>
      </c>
      <c r="Q30" s="235" t="s">
        <v>250</v>
      </c>
    </row>
    <row r="31" spans="2:17" ht="20.100000000000001" customHeight="1">
      <c r="B31" s="230">
        <f t="shared" si="1"/>
        <v>26</v>
      </c>
      <c r="C31" s="204">
        <f t="shared" si="0"/>
        <v>43856</v>
      </c>
      <c r="D31" s="228">
        <f ca="1">JAD</f>
        <v>0</v>
      </c>
      <c r="E31" s="228">
        <f ca="1">JAL</f>
        <v>0</v>
      </c>
      <c r="F31" s="234"/>
      <c r="G31" s="234"/>
      <c r="H31" s="228">
        <f ca="1">BD</f>
        <v>0</v>
      </c>
      <c r="I31" s="228">
        <f ca="1">BL</f>
        <v>0</v>
      </c>
      <c r="J31" s="228">
        <f ca="1">BSD</f>
        <v>0</v>
      </c>
      <c r="K31" s="228">
        <f ca="1">BSL</f>
        <v>0</v>
      </c>
      <c r="L31" s="234"/>
      <c r="M31" s="234"/>
      <c r="N31" s="234"/>
      <c r="O31" s="234"/>
      <c r="P31" s="234">
        <v>0</v>
      </c>
      <c r="Q31" s="235" t="s">
        <v>250</v>
      </c>
    </row>
    <row r="32" spans="2:17" ht="20.100000000000001" customHeight="1">
      <c r="B32" s="230">
        <f t="shared" si="1"/>
        <v>27</v>
      </c>
      <c r="C32" s="204">
        <f t="shared" si="0"/>
        <v>43857</v>
      </c>
      <c r="D32" s="228">
        <f ca="1">JAD</f>
        <v>0</v>
      </c>
      <c r="E32" s="228">
        <f ca="1">JAL</f>
        <v>0</v>
      </c>
      <c r="F32" s="234"/>
      <c r="G32" s="234"/>
      <c r="H32" s="228">
        <f ca="1">BD</f>
        <v>0</v>
      </c>
      <c r="I32" s="228">
        <f ca="1">BL</f>
        <v>0</v>
      </c>
      <c r="J32" s="228">
        <f ca="1">BSD</f>
        <v>0</v>
      </c>
      <c r="K32" s="228">
        <f ca="1">BSL</f>
        <v>0</v>
      </c>
      <c r="L32" s="234"/>
      <c r="M32" s="234"/>
      <c r="N32" s="234"/>
      <c r="O32" s="234"/>
      <c r="P32" s="234">
        <v>0</v>
      </c>
      <c r="Q32" s="235" t="s">
        <v>250</v>
      </c>
    </row>
    <row r="33" spans="2:17" ht="20.100000000000001" customHeight="1">
      <c r="B33" s="230">
        <f t="shared" si="1"/>
        <v>28</v>
      </c>
      <c r="C33" s="204">
        <f t="shared" si="0"/>
        <v>43858</v>
      </c>
      <c r="D33" s="228">
        <f ca="1">JAD</f>
        <v>197060</v>
      </c>
      <c r="E33" s="228">
        <f ca="1">JAL</f>
        <v>165190</v>
      </c>
      <c r="F33" s="234"/>
      <c r="G33" s="234"/>
      <c r="H33" s="228">
        <f ca="1">BD</f>
        <v>0</v>
      </c>
      <c r="I33" s="228">
        <f ca="1">BL</f>
        <v>0</v>
      </c>
      <c r="J33" s="228">
        <f ca="1">BSD</f>
        <v>0</v>
      </c>
      <c r="K33" s="228">
        <f ca="1">BSL</f>
        <v>0</v>
      </c>
      <c r="L33" s="234"/>
      <c r="M33" s="234"/>
      <c r="N33" s="234"/>
      <c r="O33" s="234"/>
      <c r="P33" s="234">
        <v>0</v>
      </c>
      <c r="Q33" s="235" t="s">
        <v>250</v>
      </c>
    </row>
    <row r="34" spans="2:17" ht="20.100000000000001" customHeight="1">
      <c r="B34" s="230">
        <f t="shared" si="1"/>
        <v>29</v>
      </c>
      <c r="C34" s="204">
        <f t="shared" si="0"/>
        <v>43859</v>
      </c>
      <c r="D34" s="228">
        <f ca="1">JAD</f>
        <v>88050</v>
      </c>
      <c r="E34" s="228">
        <f ca="1">JAL</f>
        <v>192160</v>
      </c>
      <c r="F34" s="234"/>
      <c r="G34" s="234"/>
      <c r="H34" s="228">
        <f ca="1">BD</f>
        <v>0</v>
      </c>
      <c r="I34" s="228">
        <f ca="1">BL</f>
        <v>0</v>
      </c>
      <c r="J34" s="228">
        <f ca="1">BSD</f>
        <v>0</v>
      </c>
      <c r="K34" s="228">
        <f ca="1">BSL</f>
        <v>0</v>
      </c>
      <c r="L34" s="234"/>
      <c r="M34" s="234"/>
      <c r="N34" s="234"/>
      <c r="O34" s="234"/>
      <c r="P34" s="234">
        <v>0</v>
      </c>
      <c r="Q34" s="235" t="s">
        <v>250</v>
      </c>
    </row>
    <row r="35" spans="2:17" ht="20.100000000000001" customHeight="1">
      <c r="B35" s="230">
        <f t="shared" si="1"/>
        <v>30</v>
      </c>
      <c r="C35" s="204">
        <f t="shared" si="0"/>
        <v>43860</v>
      </c>
      <c r="D35" s="228">
        <f ca="1">JAD</f>
        <v>70900</v>
      </c>
      <c r="E35" s="228">
        <f ca="1">JAL</f>
        <v>337270</v>
      </c>
      <c r="F35" s="234"/>
      <c r="G35" s="234"/>
      <c r="H35" s="228">
        <f ca="1">BD</f>
        <v>0</v>
      </c>
      <c r="I35" s="228">
        <f ca="1">BL</f>
        <v>0</v>
      </c>
      <c r="J35" s="228">
        <f ca="1">BSD</f>
        <v>0</v>
      </c>
      <c r="K35" s="228">
        <f ca="1">BSL</f>
        <v>0</v>
      </c>
      <c r="L35" s="234"/>
      <c r="M35" s="234"/>
      <c r="N35" s="234"/>
      <c r="O35" s="234"/>
      <c r="P35" s="234">
        <v>0</v>
      </c>
      <c r="Q35" s="235" t="s">
        <v>250</v>
      </c>
    </row>
    <row r="36" spans="2:17" ht="20.100000000000001" customHeight="1">
      <c r="B36" s="230">
        <f t="shared" si="1"/>
        <v>31</v>
      </c>
      <c r="C36" s="204">
        <f t="shared" si="0"/>
        <v>43861</v>
      </c>
      <c r="D36" s="228">
        <f ca="1">JAD</f>
        <v>60070</v>
      </c>
      <c r="E36" s="228">
        <f ca="1">JAL</f>
        <v>352490</v>
      </c>
      <c r="F36" s="234"/>
      <c r="G36" s="234"/>
      <c r="H36" s="228">
        <f ca="1">BD</f>
        <v>0</v>
      </c>
      <c r="I36" s="228">
        <f ca="1">BL</f>
        <v>0</v>
      </c>
      <c r="J36" s="228">
        <f ca="1">BSD</f>
        <v>0</v>
      </c>
      <c r="K36" s="228">
        <f ca="1">BSL</f>
        <v>0</v>
      </c>
      <c r="L36" s="234"/>
      <c r="M36" s="234"/>
      <c r="N36" s="234"/>
      <c r="O36" s="234"/>
      <c r="P36" s="234">
        <v>0</v>
      </c>
      <c r="Q36" s="235" t="s">
        <v>250</v>
      </c>
    </row>
    <row r="37" spans="2:17" ht="20.100000000000001" customHeight="1">
      <c r="B37" s="230">
        <f t="shared" si="1"/>
        <v>32</v>
      </c>
      <c r="C37" s="204">
        <f t="shared" si="0"/>
        <v>43862</v>
      </c>
      <c r="D37" s="228">
        <f ca="1">JAD</f>
        <v>50470</v>
      </c>
      <c r="E37" s="228">
        <f ca="1">JAL</f>
        <v>75860</v>
      </c>
      <c r="F37" s="234"/>
      <c r="G37" s="234"/>
      <c r="H37" s="228">
        <f ca="1">BD</f>
        <v>0</v>
      </c>
      <c r="I37" s="228">
        <f ca="1">BL</f>
        <v>0</v>
      </c>
      <c r="J37" s="228">
        <f ca="1">BSD</f>
        <v>0</v>
      </c>
      <c r="K37" s="228">
        <f ca="1">BSL</f>
        <v>0</v>
      </c>
      <c r="L37" s="234"/>
      <c r="M37" s="234"/>
      <c r="N37" s="234"/>
      <c r="O37" s="234"/>
      <c r="P37" s="234">
        <v>0</v>
      </c>
      <c r="Q37" s="235" t="s">
        <v>250</v>
      </c>
    </row>
    <row r="38" spans="2:17" ht="20.100000000000001" customHeight="1">
      <c r="B38" s="230">
        <f t="shared" si="1"/>
        <v>33</v>
      </c>
      <c r="C38" s="204">
        <f t="shared" si="0"/>
        <v>43863</v>
      </c>
      <c r="D38" s="228">
        <f ca="1">JAD</f>
        <v>0</v>
      </c>
      <c r="E38" s="228">
        <f ca="1">JAL</f>
        <v>0</v>
      </c>
      <c r="F38" s="234"/>
      <c r="G38" s="234"/>
      <c r="H38" s="228">
        <f ca="1">BD</f>
        <v>0</v>
      </c>
      <c r="I38" s="228">
        <f ca="1">BL</f>
        <v>0</v>
      </c>
      <c r="J38" s="228">
        <f ca="1">BSD</f>
        <v>0</v>
      </c>
      <c r="K38" s="228">
        <f ca="1">BSL</f>
        <v>0</v>
      </c>
      <c r="L38" s="234"/>
      <c r="M38" s="234"/>
      <c r="N38" s="234"/>
      <c r="O38" s="234"/>
      <c r="P38" s="234">
        <v>0</v>
      </c>
      <c r="Q38" s="235" t="s">
        <v>250</v>
      </c>
    </row>
    <row r="39" spans="2:17" ht="20.100000000000001" customHeight="1">
      <c r="B39" s="230">
        <f t="shared" si="1"/>
        <v>34</v>
      </c>
      <c r="C39" s="204">
        <f t="shared" si="0"/>
        <v>43864</v>
      </c>
      <c r="D39" s="228">
        <f ca="1">JAD</f>
        <v>109620</v>
      </c>
      <c r="E39" s="228">
        <f ca="1">JAL</f>
        <v>333230</v>
      </c>
      <c r="F39" s="234"/>
      <c r="G39" s="234"/>
      <c r="H39" s="228">
        <f ca="1">BD</f>
        <v>0</v>
      </c>
      <c r="I39" s="228">
        <f ca="1">BL</f>
        <v>0</v>
      </c>
      <c r="J39" s="228">
        <f ca="1">BSD</f>
        <v>0</v>
      </c>
      <c r="K39" s="228">
        <f ca="1">BSL</f>
        <v>0</v>
      </c>
      <c r="L39" s="234"/>
      <c r="M39" s="234"/>
      <c r="N39" s="234"/>
      <c r="O39" s="234"/>
      <c r="P39" s="234">
        <v>0</v>
      </c>
      <c r="Q39" s="235" t="s">
        <v>250</v>
      </c>
    </row>
    <row r="40" spans="2:17" ht="20.100000000000001" customHeight="1">
      <c r="B40" s="230">
        <f t="shared" si="1"/>
        <v>35</v>
      </c>
      <c r="C40" s="204">
        <f t="shared" si="0"/>
        <v>43865</v>
      </c>
      <c r="D40" s="228">
        <f ca="1">JAD</f>
        <v>43290</v>
      </c>
      <c r="E40" s="228">
        <f ca="1">JAL</f>
        <v>97700</v>
      </c>
      <c r="F40" s="234"/>
      <c r="G40" s="234"/>
      <c r="H40" s="228">
        <f ca="1">BD</f>
        <v>0</v>
      </c>
      <c r="I40" s="228">
        <f ca="1">BL</f>
        <v>0</v>
      </c>
      <c r="J40" s="228">
        <f ca="1">BSD</f>
        <v>0</v>
      </c>
      <c r="K40" s="228">
        <f ca="1">BSL</f>
        <v>0</v>
      </c>
      <c r="L40" s="234"/>
      <c r="M40" s="234"/>
      <c r="N40" s="234"/>
      <c r="O40" s="234"/>
      <c r="P40" s="234">
        <v>0</v>
      </c>
      <c r="Q40" s="235" t="s">
        <v>250</v>
      </c>
    </row>
    <row r="41" spans="2:17" ht="20.100000000000001" customHeight="1">
      <c r="B41" s="230">
        <f t="shared" si="1"/>
        <v>36</v>
      </c>
      <c r="C41" s="204">
        <f t="shared" si="0"/>
        <v>43866</v>
      </c>
      <c r="D41" s="228">
        <f ca="1">JAD</f>
        <v>91780</v>
      </c>
      <c r="E41" s="228">
        <f ca="1">JAL</f>
        <v>80170</v>
      </c>
      <c r="F41" s="234"/>
      <c r="G41" s="234"/>
      <c r="H41" s="228">
        <f ca="1">BD</f>
        <v>0</v>
      </c>
      <c r="I41" s="228">
        <f ca="1">BL</f>
        <v>0</v>
      </c>
      <c r="J41" s="228">
        <f ca="1">BSD</f>
        <v>0</v>
      </c>
      <c r="K41" s="228">
        <f ca="1">BSL</f>
        <v>0</v>
      </c>
      <c r="L41" s="234"/>
      <c r="M41" s="234"/>
      <c r="N41" s="234"/>
      <c r="O41" s="234"/>
      <c r="P41" s="234">
        <v>0</v>
      </c>
      <c r="Q41" s="235" t="s">
        <v>250</v>
      </c>
    </row>
    <row r="42" spans="2:17" ht="20.100000000000001" customHeight="1">
      <c r="B42" s="230">
        <f t="shared" si="1"/>
        <v>37</v>
      </c>
      <c r="C42" s="204">
        <f t="shared" si="0"/>
        <v>43867</v>
      </c>
      <c r="D42" s="228">
        <f ca="1">JAD</f>
        <v>63180</v>
      </c>
      <c r="E42" s="228">
        <f ca="1">JAL</f>
        <v>138880</v>
      </c>
      <c r="F42" s="234"/>
      <c r="G42" s="234"/>
      <c r="H42" s="228">
        <f ca="1">BD</f>
        <v>0</v>
      </c>
      <c r="I42" s="228">
        <f ca="1">BL</f>
        <v>0</v>
      </c>
      <c r="J42" s="228">
        <f ca="1">BSD</f>
        <v>0</v>
      </c>
      <c r="K42" s="228">
        <f ca="1">BSL</f>
        <v>0</v>
      </c>
      <c r="L42" s="234"/>
      <c r="M42" s="234"/>
      <c r="N42" s="234"/>
      <c r="O42" s="234"/>
      <c r="P42" s="234">
        <v>0</v>
      </c>
      <c r="Q42" s="235" t="s">
        <v>250</v>
      </c>
    </row>
    <row r="43" spans="2:17" ht="20.100000000000001" customHeight="1">
      <c r="B43" s="230">
        <f t="shared" si="1"/>
        <v>38</v>
      </c>
      <c r="C43" s="204">
        <f t="shared" si="0"/>
        <v>43868</v>
      </c>
      <c r="D43" s="228">
        <f ca="1">JAD</f>
        <v>58340</v>
      </c>
      <c r="E43" s="228">
        <f ca="1">JAL</f>
        <v>74950</v>
      </c>
      <c r="F43" s="234"/>
      <c r="G43" s="234"/>
      <c r="H43" s="228">
        <f ca="1">BD</f>
        <v>0</v>
      </c>
      <c r="I43" s="228">
        <f ca="1">BL</f>
        <v>0</v>
      </c>
      <c r="J43" s="228">
        <f ca="1">BSD</f>
        <v>0</v>
      </c>
      <c r="K43" s="228">
        <f ca="1">BSL</f>
        <v>0</v>
      </c>
      <c r="L43" s="234"/>
      <c r="M43" s="234"/>
      <c r="N43" s="234"/>
      <c r="O43" s="234"/>
      <c r="P43" s="234">
        <v>0</v>
      </c>
      <c r="Q43" s="235" t="s">
        <v>250</v>
      </c>
    </row>
    <row r="44" spans="2:17" ht="20.100000000000001" customHeight="1">
      <c r="B44" s="230">
        <f t="shared" si="1"/>
        <v>39</v>
      </c>
      <c r="C44" s="204">
        <f t="shared" si="0"/>
        <v>43869</v>
      </c>
      <c r="D44" s="228">
        <f ca="1">JAD</f>
        <v>35570</v>
      </c>
      <c r="E44" s="228">
        <f ca="1">JAL</f>
        <v>60350</v>
      </c>
      <c r="F44" s="234"/>
      <c r="G44" s="234"/>
      <c r="H44" s="228">
        <f ca="1">BD</f>
        <v>0</v>
      </c>
      <c r="I44" s="228">
        <f ca="1">BL</f>
        <v>0</v>
      </c>
      <c r="J44" s="228">
        <f ca="1">BSD</f>
        <v>0</v>
      </c>
      <c r="K44" s="228">
        <f ca="1">BSL</f>
        <v>0</v>
      </c>
      <c r="L44" s="234"/>
      <c r="M44" s="234"/>
      <c r="N44" s="234"/>
      <c r="O44" s="234"/>
      <c r="P44" s="234">
        <v>0</v>
      </c>
      <c r="Q44" s="235" t="s">
        <v>250</v>
      </c>
    </row>
    <row r="45" spans="2:17" ht="20.100000000000001" customHeight="1">
      <c r="B45" s="230">
        <f t="shared" si="1"/>
        <v>40</v>
      </c>
      <c r="C45" s="204">
        <f t="shared" si="0"/>
        <v>43870</v>
      </c>
      <c r="D45" s="228">
        <f ca="1">JAD</f>
        <v>0</v>
      </c>
      <c r="E45" s="228">
        <f ca="1">JAL</f>
        <v>0</v>
      </c>
      <c r="F45" s="234"/>
      <c r="G45" s="234"/>
      <c r="H45" s="228">
        <f ca="1">BD</f>
        <v>0</v>
      </c>
      <c r="I45" s="228">
        <f ca="1">BL</f>
        <v>0</v>
      </c>
      <c r="J45" s="228">
        <f ca="1">BSD</f>
        <v>0</v>
      </c>
      <c r="K45" s="228">
        <f ca="1">BSL</f>
        <v>0</v>
      </c>
      <c r="L45" s="234"/>
      <c r="M45" s="234"/>
      <c r="N45" s="234"/>
      <c r="O45" s="234"/>
      <c r="P45" s="234">
        <v>0</v>
      </c>
      <c r="Q45" s="235" t="s">
        <v>250</v>
      </c>
    </row>
    <row r="46" spans="2:17" ht="20.100000000000001" customHeight="1">
      <c r="B46" s="230">
        <f t="shared" si="1"/>
        <v>41</v>
      </c>
      <c r="C46" s="204">
        <f t="shared" si="0"/>
        <v>43871</v>
      </c>
      <c r="D46" s="228">
        <f ca="1">JAD</f>
        <v>111290</v>
      </c>
      <c r="E46" s="228">
        <f ca="1">JAL</f>
        <v>111130</v>
      </c>
      <c r="F46" s="234"/>
      <c r="G46" s="234"/>
      <c r="H46" s="228">
        <f ca="1">BD</f>
        <v>0</v>
      </c>
      <c r="I46" s="228">
        <f ca="1">BL</f>
        <v>0</v>
      </c>
      <c r="J46" s="228">
        <f ca="1">BSD</f>
        <v>0</v>
      </c>
      <c r="K46" s="228">
        <f ca="1">BSL</f>
        <v>0</v>
      </c>
      <c r="L46" s="234"/>
      <c r="M46" s="234"/>
      <c r="N46" s="234"/>
      <c r="O46" s="234"/>
      <c r="P46" s="234">
        <v>0</v>
      </c>
      <c r="Q46" s="235" t="s">
        <v>250</v>
      </c>
    </row>
    <row r="47" spans="2:17" ht="20.100000000000001" customHeight="1">
      <c r="B47" s="230">
        <f t="shared" si="1"/>
        <v>42</v>
      </c>
      <c r="C47" s="204">
        <f t="shared" si="0"/>
        <v>43872</v>
      </c>
      <c r="D47" s="228">
        <f ca="1">JAD</f>
        <v>0</v>
      </c>
      <c r="E47" s="228">
        <f ca="1">JAL</f>
        <v>0</v>
      </c>
      <c r="F47" s="234"/>
      <c r="G47" s="234"/>
      <c r="H47" s="228">
        <f ca="1">BD</f>
        <v>0</v>
      </c>
      <c r="I47" s="228">
        <f ca="1">BL</f>
        <v>0</v>
      </c>
      <c r="J47" s="228">
        <f ca="1">BSD</f>
        <v>0</v>
      </c>
      <c r="K47" s="228">
        <f ca="1">BSL</f>
        <v>0</v>
      </c>
      <c r="L47" s="234"/>
      <c r="M47" s="234"/>
      <c r="N47" s="234"/>
      <c r="O47" s="234"/>
      <c r="P47" s="234"/>
      <c r="Q47" s="235" t="s">
        <v>250</v>
      </c>
    </row>
    <row r="48" spans="2:17" ht="20.100000000000001" customHeight="1">
      <c r="B48" s="230">
        <f t="shared" si="1"/>
        <v>43</v>
      </c>
      <c r="C48" s="204">
        <f t="shared" si="0"/>
        <v>43873</v>
      </c>
      <c r="D48" s="228">
        <f ca="1">JAD</f>
        <v>0</v>
      </c>
      <c r="E48" s="228">
        <f ca="1">JAL</f>
        <v>0</v>
      </c>
      <c r="F48" s="234"/>
      <c r="G48" s="234"/>
      <c r="H48" s="228">
        <f ca="1">BD</f>
        <v>0</v>
      </c>
      <c r="I48" s="228">
        <f ca="1">BL</f>
        <v>0</v>
      </c>
      <c r="J48" s="228">
        <f ca="1">BSD</f>
        <v>0</v>
      </c>
      <c r="K48" s="228">
        <f ca="1">BSL</f>
        <v>0</v>
      </c>
      <c r="L48" s="234"/>
      <c r="M48" s="234"/>
      <c r="N48" s="234"/>
      <c r="O48" s="234"/>
      <c r="P48" s="234">
        <v>0</v>
      </c>
      <c r="Q48" s="235" t="s">
        <v>250</v>
      </c>
    </row>
    <row r="49" spans="2:17" ht="20.100000000000001" customHeight="1">
      <c r="B49" s="230">
        <f t="shared" si="1"/>
        <v>44</v>
      </c>
      <c r="C49" s="204">
        <f t="shared" si="0"/>
        <v>43874</v>
      </c>
      <c r="D49" s="228">
        <f ca="1">JAD</f>
        <v>109870</v>
      </c>
      <c r="E49" s="228">
        <f ca="1">JAL</f>
        <v>260720</v>
      </c>
      <c r="F49" s="234"/>
      <c r="G49" s="234"/>
      <c r="H49" s="228">
        <f ca="1">BD</f>
        <v>0</v>
      </c>
      <c r="I49" s="228">
        <f ca="1">BL</f>
        <v>0</v>
      </c>
      <c r="J49" s="228">
        <f ca="1">BSD</f>
        <v>0</v>
      </c>
      <c r="K49" s="228">
        <f ca="1">BSL</f>
        <v>0</v>
      </c>
      <c r="L49" s="234"/>
      <c r="M49" s="234"/>
      <c r="N49" s="234"/>
      <c r="O49" s="234"/>
      <c r="P49" s="234">
        <v>0</v>
      </c>
      <c r="Q49" s="235" t="s">
        <v>250</v>
      </c>
    </row>
    <row r="50" spans="2:17" ht="20.100000000000001" customHeight="1">
      <c r="B50" s="230">
        <f t="shared" si="1"/>
        <v>45</v>
      </c>
      <c r="C50" s="204">
        <f t="shared" si="0"/>
        <v>43875</v>
      </c>
      <c r="D50" s="228">
        <f ca="1">JAD</f>
        <v>54440</v>
      </c>
      <c r="E50" s="228">
        <f ca="1">JAL</f>
        <v>171830</v>
      </c>
      <c r="F50" s="234"/>
      <c r="G50" s="234"/>
      <c r="H50" s="228">
        <f ca="1">BD</f>
        <v>0</v>
      </c>
      <c r="I50" s="228">
        <f ca="1">BL</f>
        <v>0</v>
      </c>
      <c r="J50" s="228">
        <f ca="1">BSD</f>
        <v>0</v>
      </c>
      <c r="K50" s="228">
        <f ca="1">BSL</f>
        <v>0</v>
      </c>
      <c r="L50" s="234"/>
      <c r="M50" s="234"/>
      <c r="N50" s="234"/>
      <c r="O50" s="234"/>
      <c r="P50" s="234">
        <v>0</v>
      </c>
      <c r="Q50" s="235" t="s">
        <v>250</v>
      </c>
    </row>
    <row r="51" spans="2:17" ht="20.100000000000001" customHeight="1">
      <c r="B51" s="230">
        <f t="shared" si="1"/>
        <v>46</v>
      </c>
      <c r="C51" s="204">
        <f t="shared" si="0"/>
        <v>43876</v>
      </c>
      <c r="D51" s="228">
        <f ca="1">JAD</f>
        <v>27230</v>
      </c>
      <c r="E51" s="228">
        <f ca="1">JAL</f>
        <v>124340</v>
      </c>
      <c r="F51" s="234"/>
      <c r="G51" s="234"/>
      <c r="H51" s="228">
        <f ca="1">BD</f>
        <v>0</v>
      </c>
      <c r="I51" s="228">
        <f ca="1">BL</f>
        <v>0</v>
      </c>
      <c r="J51" s="228">
        <f ca="1">BSD</f>
        <v>0</v>
      </c>
      <c r="K51" s="228">
        <f ca="1">BSL</f>
        <v>0</v>
      </c>
      <c r="L51" s="234"/>
      <c r="M51" s="234"/>
      <c r="N51" s="234"/>
      <c r="O51" s="234"/>
      <c r="P51" s="234">
        <v>0</v>
      </c>
      <c r="Q51" s="235" t="s">
        <v>250</v>
      </c>
    </row>
    <row r="52" spans="2:17" ht="20.100000000000001" customHeight="1">
      <c r="B52" s="230">
        <f t="shared" si="1"/>
        <v>47</v>
      </c>
      <c r="C52" s="204">
        <f t="shared" si="0"/>
        <v>43877</v>
      </c>
      <c r="D52" s="228">
        <f ca="1">JAD</f>
        <v>0</v>
      </c>
      <c r="E52" s="228">
        <f ca="1">JAL</f>
        <v>0</v>
      </c>
      <c r="F52" s="234"/>
      <c r="G52" s="234"/>
      <c r="H52" s="228">
        <f ca="1">BD</f>
        <v>0</v>
      </c>
      <c r="I52" s="228">
        <f ca="1">BL</f>
        <v>0</v>
      </c>
      <c r="J52" s="228">
        <f ca="1">BSD</f>
        <v>0</v>
      </c>
      <c r="K52" s="228">
        <f ca="1">BSL</f>
        <v>0</v>
      </c>
      <c r="L52" s="234"/>
      <c r="M52" s="234"/>
      <c r="N52" s="234"/>
      <c r="O52" s="234"/>
      <c r="P52" s="234">
        <v>0</v>
      </c>
      <c r="Q52" s="235" t="s">
        <v>250</v>
      </c>
    </row>
    <row r="53" spans="2:17" ht="20.100000000000001" customHeight="1">
      <c r="B53" s="230">
        <f t="shared" si="1"/>
        <v>48</v>
      </c>
      <c r="C53" s="204">
        <f t="shared" si="0"/>
        <v>43878</v>
      </c>
      <c r="D53" s="228">
        <f ca="1">JAD</f>
        <v>79110</v>
      </c>
      <c r="E53" s="228">
        <f ca="1">JAL</f>
        <v>111430</v>
      </c>
      <c r="F53" s="234"/>
      <c r="G53" s="234"/>
      <c r="H53" s="228">
        <f ca="1">BD</f>
        <v>0</v>
      </c>
      <c r="I53" s="228">
        <f ca="1">BL</f>
        <v>0</v>
      </c>
      <c r="J53" s="228">
        <f ca="1">BSD</f>
        <v>0</v>
      </c>
      <c r="K53" s="228">
        <f ca="1">BSL</f>
        <v>0</v>
      </c>
      <c r="L53" s="234"/>
      <c r="M53" s="234"/>
      <c r="N53" s="234"/>
      <c r="O53" s="234"/>
      <c r="P53" s="234">
        <v>0</v>
      </c>
      <c r="Q53" s="235" t="s">
        <v>250</v>
      </c>
    </row>
    <row r="54" spans="2:17" ht="20.100000000000001" customHeight="1">
      <c r="B54" s="230">
        <f t="shared" si="1"/>
        <v>49</v>
      </c>
      <c r="C54" s="204">
        <f t="shared" si="0"/>
        <v>43879</v>
      </c>
      <c r="D54" s="228">
        <f ca="1">JAD</f>
        <v>47680</v>
      </c>
      <c r="E54" s="228">
        <f ca="1">JAL</f>
        <v>24340</v>
      </c>
      <c r="F54" s="234"/>
      <c r="G54" s="234"/>
      <c r="H54" s="228">
        <f ca="1">BD</f>
        <v>0</v>
      </c>
      <c r="I54" s="228">
        <f ca="1">BL</f>
        <v>0</v>
      </c>
      <c r="J54" s="228">
        <f ca="1">BSD</f>
        <v>0</v>
      </c>
      <c r="K54" s="228">
        <f ca="1">BSL</f>
        <v>0</v>
      </c>
      <c r="L54" s="234"/>
      <c r="M54" s="234"/>
      <c r="N54" s="234"/>
      <c r="O54" s="234"/>
      <c r="P54" s="234">
        <v>0</v>
      </c>
      <c r="Q54" s="235" t="s">
        <v>250</v>
      </c>
    </row>
    <row r="55" spans="2:17" ht="20.100000000000001" customHeight="1">
      <c r="B55" s="230">
        <f t="shared" si="1"/>
        <v>50</v>
      </c>
      <c r="C55" s="204">
        <f t="shared" si="0"/>
        <v>43880</v>
      </c>
      <c r="D55" s="228">
        <f ca="1">JAD</f>
        <v>47210</v>
      </c>
      <c r="E55" s="228">
        <f ca="1">JAL</f>
        <v>29730</v>
      </c>
      <c r="F55" s="234"/>
      <c r="G55" s="234"/>
      <c r="H55" s="228">
        <f ca="1">BD</f>
        <v>0</v>
      </c>
      <c r="I55" s="228">
        <f ca="1">BL</f>
        <v>0</v>
      </c>
      <c r="J55" s="228">
        <f ca="1">BSD</f>
        <v>0</v>
      </c>
      <c r="K55" s="228">
        <f ca="1">BSL</f>
        <v>0</v>
      </c>
      <c r="L55" s="234"/>
      <c r="M55" s="234"/>
      <c r="N55" s="234"/>
      <c r="O55" s="234"/>
      <c r="P55" s="234">
        <v>0</v>
      </c>
      <c r="Q55" s="235" t="s">
        <v>250</v>
      </c>
    </row>
    <row r="56" spans="2:17" ht="20.100000000000001" customHeight="1">
      <c r="B56" s="230">
        <f t="shared" si="1"/>
        <v>51</v>
      </c>
      <c r="C56" s="204">
        <f t="shared" si="0"/>
        <v>43881</v>
      </c>
      <c r="D56" s="228">
        <f ca="1">JAD</f>
        <v>73450</v>
      </c>
      <c r="E56" s="228">
        <f ca="1">JAL</f>
        <v>75270</v>
      </c>
      <c r="F56" s="234"/>
      <c r="G56" s="234"/>
      <c r="H56" s="228">
        <f ca="1">BD</f>
        <v>0</v>
      </c>
      <c r="I56" s="228">
        <f ca="1">BL</f>
        <v>0</v>
      </c>
      <c r="J56" s="228">
        <f ca="1">BSD</f>
        <v>0</v>
      </c>
      <c r="K56" s="228">
        <f ca="1">BSL</f>
        <v>0</v>
      </c>
      <c r="L56" s="234"/>
      <c r="M56" s="234"/>
      <c r="N56" s="234"/>
      <c r="O56" s="234"/>
      <c r="P56" s="234">
        <v>0</v>
      </c>
      <c r="Q56" s="235" t="s">
        <v>250</v>
      </c>
    </row>
    <row r="57" spans="2:17" ht="20.100000000000001" customHeight="1">
      <c r="B57" s="230">
        <f t="shared" si="1"/>
        <v>52</v>
      </c>
      <c r="C57" s="204">
        <f t="shared" si="0"/>
        <v>43882</v>
      </c>
      <c r="D57" s="228">
        <f ca="1">JAD</f>
        <v>81330</v>
      </c>
      <c r="E57" s="228">
        <f ca="1">JAL</f>
        <v>138120</v>
      </c>
      <c r="F57" s="234"/>
      <c r="G57" s="234"/>
      <c r="H57" s="228">
        <f ca="1">BD</f>
        <v>0</v>
      </c>
      <c r="I57" s="228">
        <f ca="1">BL</f>
        <v>0</v>
      </c>
      <c r="J57" s="228">
        <f ca="1">BSD</f>
        <v>0</v>
      </c>
      <c r="K57" s="228">
        <f ca="1">BSL</f>
        <v>0</v>
      </c>
      <c r="L57" s="234"/>
      <c r="M57" s="234"/>
      <c r="N57" s="234"/>
      <c r="O57" s="234"/>
      <c r="P57" s="234">
        <v>0</v>
      </c>
      <c r="Q57" s="235" t="s">
        <v>250</v>
      </c>
    </row>
    <row r="58" spans="2:17" ht="20.100000000000001" customHeight="1">
      <c r="B58" s="230">
        <f t="shared" si="1"/>
        <v>53</v>
      </c>
      <c r="C58" s="204">
        <f t="shared" si="0"/>
        <v>43883</v>
      </c>
      <c r="D58" s="228">
        <f ca="1">JAD</f>
        <v>64710</v>
      </c>
      <c r="E58" s="228">
        <f ca="1">JAL</f>
        <v>41510</v>
      </c>
      <c r="F58" s="234"/>
      <c r="G58" s="234"/>
      <c r="H58" s="228">
        <f ca="1">BD</f>
        <v>0</v>
      </c>
      <c r="I58" s="228">
        <f ca="1">BL</f>
        <v>0</v>
      </c>
      <c r="J58" s="228">
        <f ca="1">BSD</f>
        <v>0</v>
      </c>
      <c r="K58" s="228">
        <f ca="1">BSL</f>
        <v>0</v>
      </c>
      <c r="L58" s="234"/>
      <c r="M58" s="234"/>
      <c r="N58" s="234"/>
      <c r="O58" s="234"/>
      <c r="P58" s="234">
        <v>0</v>
      </c>
      <c r="Q58" s="235" t="s">
        <v>250</v>
      </c>
    </row>
    <row r="59" spans="2:17" ht="20.100000000000001" customHeight="1">
      <c r="B59" s="230">
        <f t="shared" si="1"/>
        <v>54</v>
      </c>
      <c r="C59" s="204">
        <f t="shared" si="0"/>
        <v>43884</v>
      </c>
      <c r="D59" s="228">
        <f ca="1">JAD</f>
        <v>0</v>
      </c>
      <c r="E59" s="228">
        <f ca="1">JAL</f>
        <v>0</v>
      </c>
      <c r="F59" s="234"/>
      <c r="G59" s="234"/>
      <c r="H59" s="228">
        <f ca="1">BD</f>
        <v>0</v>
      </c>
      <c r="I59" s="228">
        <f ca="1">BL</f>
        <v>0</v>
      </c>
      <c r="J59" s="228">
        <f ca="1">BSD</f>
        <v>0</v>
      </c>
      <c r="K59" s="228">
        <f ca="1">BSL</f>
        <v>0</v>
      </c>
      <c r="L59" s="234"/>
      <c r="M59" s="234"/>
      <c r="N59" s="234"/>
      <c r="O59" s="234"/>
      <c r="P59" s="234">
        <v>0</v>
      </c>
      <c r="Q59" s="235" t="s">
        <v>250</v>
      </c>
    </row>
    <row r="60" spans="2:17" ht="20.100000000000001" customHeight="1">
      <c r="B60" s="230">
        <f t="shared" si="1"/>
        <v>55</v>
      </c>
      <c r="C60" s="204">
        <f t="shared" si="0"/>
        <v>43885</v>
      </c>
      <c r="D60" s="228">
        <f ca="1">JAD</f>
        <v>90000</v>
      </c>
      <c r="E60" s="228">
        <f ca="1">JAL</f>
        <v>26220</v>
      </c>
      <c r="F60" s="234"/>
      <c r="G60" s="234"/>
      <c r="H60" s="228">
        <f ca="1">BD</f>
        <v>0</v>
      </c>
      <c r="I60" s="228">
        <f ca="1">BL</f>
        <v>0</v>
      </c>
      <c r="J60" s="228">
        <f ca="1">BSD</f>
        <v>0</v>
      </c>
      <c r="K60" s="228">
        <f ca="1">BSL</f>
        <v>0</v>
      </c>
      <c r="L60" s="234"/>
      <c r="M60" s="234"/>
      <c r="N60" s="234"/>
      <c r="O60" s="234"/>
      <c r="P60" s="234">
        <v>0</v>
      </c>
      <c r="Q60" s="235" t="s">
        <v>250</v>
      </c>
    </row>
    <row r="61" spans="2:17" ht="20.100000000000001" customHeight="1">
      <c r="B61" s="230">
        <f t="shared" si="1"/>
        <v>56</v>
      </c>
      <c r="C61" s="204">
        <f t="shared" si="0"/>
        <v>43886</v>
      </c>
      <c r="D61" s="228">
        <f ca="1">JAD</f>
        <v>52470</v>
      </c>
      <c r="E61" s="228">
        <f ca="1">JAL</f>
        <v>66460</v>
      </c>
      <c r="F61" s="234"/>
      <c r="G61" s="234"/>
      <c r="H61" s="228">
        <f ca="1">BD</f>
        <v>0</v>
      </c>
      <c r="I61" s="228">
        <f ca="1">BL</f>
        <v>0</v>
      </c>
      <c r="J61" s="228">
        <f ca="1">BSD</f>
        <v>0</v>
      </c>
      <c r="K61" s="228">
        <f ca="1">BSL</f>
        <v>0</v>
      </c>
      <c r="L61" s="234"/>
      <c r="M61" s="234"/>
      <c r="N61" s="234"/>
      <c r="O61" s="234"/>
      <c r="P61" s="234">
        <v>0</v>
      </c>
      <c r="Q61" s="235" t="s">
        <v>250</v>
      </c>
    </row>
    <row r="62" spans="2:17" ht="20.100000000000001" customHeight="1">
      <c r="B62" s="230">
        <f t="shared" si="1"/>
        <v>57</v>
      </c>
      <c r="C62" s="204">
        <f t="shared" si="0"/>
        <v>43887</v>
      </c>
      <c r="D62" s="228">
        <f ca="1">JAD</f>
        <v>83920</v>
      </c>
      <c r="E62" s="228">
        <f ca="1">JAL</f>
        <v>128210</v>
      </c>
      <c r="F62" s="234"/>
      <c r="G62" s="234"/>
      <c r="H62" s="228">
        <f ca="1">BD</f>
        <v>0</v>
      </c>
      <c r="I62" s="228">
        <f ca="1">BL</f>
        <v>0</v>
      </c>
      <c r="J62" s="228">
        <f ca="1">BSD</f>
        <v>0</v>
      </c>
      <c r="K62" s="228">
        <f ca="1">BSL</f>
        <v>0</v>
      </c>
      <c r="L62" s="234"/>
      <c r="M62" s="234"/>
      <c r="N62" s="234"/>
      <c r="O62" s="234"/>
      <c r="P62" s="234">
        <v>0</v>
      </c>
      <c r="Q62" s="235" t="s">
        <v>250</v>
      </c>
    </row>
    <row r="63" spans="2:17" ht="20.100000000000001" customHeight="1">
      <c r="B63" s="230">
        <f t="shared" si="1"/>
        <v>58</v>
      </c>
      <c r="C63" s="204">
        <f t="shared" si="0"/>
        <v>43888</v>
      </c>
      <c r="D63" s="228">
        <f ca="1">JAD</f>
        <v>70110</v>
      </c>
      <c r="E63" s="228">
        <f ca="1">JAL</f>
        <v>44480</v>
      </c>
      <c r="F63" s="234"/>
      <c r="G63" s="234"/>
      <c r="H63" s="228">
        <f ca="1">BD</f>
        <v>0</v>
      </c>
      <c r="I63" s="228">
        <f ca="1">BL</f>
        <v>0</v>
      </c>
      <c r="J63" s="228">
        <f ca="1">BSD</f>
        <v>0</v>
      </c>
      <c r="K63" s="228">
        <f ca="1">BSL</f>
        <v>0</v>
      </c>
      <c r="L63" s="234"/>
      <c r="M63" s="234"/>
      <c r="N63" s="234"/>
      <c r="O63" s="234"/>
      <c r="P63" s="234">
        <v>0</v>
      </c>
      <c r="Q63" s="235" t="s">
        <v>250</v>
      </c>
    </row>
    <row r="64" spans="2:17" ht="20.100000000000001" customHeight="1">
      <c r="B64" s="230">
        <f t="shared" si="1"/>
        <v>59</v>
      </c>
      <c r="C64" s="204">
        <f t="shared" si="0"/>
        <v>43889</v>
      </c>
      <c r="D64" s="228">
        <f ca="1">JAD</f>
        <v>58190</v>
      </c>
      <c r="E64" s="228">
        <f ca="1">JAL</f>
        <v>14990</v>
      </c>
      <c r="F64" s="234"/>
      <c r="G64" s="234"/>
      <c r="H64" s="228">
        <f ca="1">BD</f>
        <v>0</v>
      </c>
      <c r="I64" s="228">
        <f ca="1">BL</f>
        <v>0</v>
      </c>
      <c r="J64" s="228">
        <f ca="1">BSD</f>
        <v>0</v>
      </c>
      <c r="K64" s="228">
        <f ca="1">BSL</f>
        <v>0</v>
      </c>
      <c r="L64" s="234">
        <v>1310</v>
      </c>
      <c r="M64" s="234"/>
      <c r="N64" s="234"/>
      <c r="O64" s="234"/>
      <c r="P64" s="234">
        <v>0</v>
      </c>
      <c r="Q64" s="235" t="s">
        <v>250</v>
      </c>
    </row>
    <row r="65" spans="2:17" ht="20.100000000000001" customHeight="1">
      <c r="B65" s="230">
        <f t="shared" si="1"/>
        <v>60</v>
      </c>
      <c r="C65" s="204">
        <f t="shared" si="0"/>
        <v>43890</v>
      </c>
      <c r="D65" s="228">
        <f ca="1">JAD</f>
        <v>43180</v>
      </c>
      <c r="E65" s="228">
        <f ca="1">JAL</f>
        <v>21270</v>
      </c>
      <c r="F65" s="234"/>
      <c r="G65" s="234"/>
      <c r="H65" s="228">
        <f ca="1">BD</f>
        <v>0</v>
      </c>
      <c r="I65" s="228">
        <f ca="1">BL</f>
        <v>0</v>
      </c>
      <c r="J65" s="228">
        <f ca="1">BSD</f>
        <v>0</v>
      </c>
      <c r="K65" s="228">
        <f ca="1">BSL</f>
        <v>0</v>
      </c>
      <c r="L65" s="234">
        <v>1160</v>
      </c>
      <c r="M65" s="234"/>
      <c r="N65" s="234"/>
      <c r="O65" s="234"/>
      <c r="P65" s="234">
        <v>0</v>
      </c>
      <c r="Q65" s="235" t="s">
        <v>250</v>
      </c>
    </row>
    <row r="66" spans="2:17" ht="20.100000000000001" customHeight="1">
      <c r="B66" s="230">
        <f t="shared" si="1"/>
        <v>61</v>
      </c>
      <c r="C66" s="204">
        <f t="shared" si="0"/>
        <v>43891</v>
      </c>
      <c r="D66" s="228">
        <f ca="1">JAD</f>
        <v>0</v>
      </c>
      <c r="E66" s="228">
        <f ca="1">JAL</f>
        <v>0</v>
      </c>
      <c r="F66" s="234"/>
      <c r="G66" s="234"/>
      <c r="H66" s="228">
        <f ca="1">BD</f>
        <v>0</v>
      </c>
      <c r="I66" s="228">
        <f ca="1">BL</f>
        <v>0</v>
      </c>
      <c r="J66" s="228">
        <f ca="1">BSD</f>
        <v>0</v>
      </c>
      <c r="K66" s="228">
        <f ca="1">BSL</f>
        <v>0</v>
      </c>
      <c r="L66" s="234"/>
      <c r="M66" s="234"/>
      <c r="N66" s="234"/>
      <c r="O66" s="234"/>
      <c r="P66" s="234">
        <v>0</v>
      </c>
      <c r="Q66" s="235" t="s">
        <v>218</v>
      </c>
    </row>
    <row r="67" spans="2:17" ht="20.100000000000001" customHeight="1">
      <c r="B67" s="230">
        <f t="shared" si="1"/>
        <v>62</v>
      </c>
      <c r="C67" s="204">
        <f t="shared" si="0"/>
        <v>43892</v>
      </c>
      <c r="D67" s="228">
        <f ca="1">JAD</f>
        <v>89120</v>
      </c>
      <c r="E67" s="228">
        <f ca="1">JAL</f>
        <v>16440</v>
      </c>
      <c r="F67" s="234"/>
      <c r="G67" s="234"/>
      <c r="H67" s="228">
        <f ca="1">BD</f>
        <v>0</v>
      </c>
      <c r="I67" s="228">
        <f ca="1">BL</f>
        <v>0</v>
      </c>
      <c r="J67" s="228">
        <f ca="1">BSD</f>
        <v>0</v>
      </c>
      <c r="K67" s="228">
        <f ca="1">BSL</f>
        <v>0</v>
      </c>
      <c r="L67" s="234"/>
      <c r="M67" s="234"/>
      <c r="N67" s="234"/>
      <c r="O67" s="234"/>
      <c r="P67" s="234">
        <v>0</v>
      </c>
      <c r="Q67" s="235" t="s">
        <v>218</v>
      </c>
    </row>
    <row r="68" spans="2:17" ht="20.100000000000001" customHeight="1">
      <c r="B68" s="230">
        <f t="shared" si="1"/>
        <v>63</v>
      </c>
      <c r="C68" s="204">
        <f t="shared" si="0"/>
        <v>43893</v>
      </c>
      <c r="D68" s="228">
        <f ca="1">JAD</f>
        <v>53730</v>
      </c>
      <c r="E68" s="228">
        <f ca="1">JAL</f>
        <v>10700</v>
      </c>
      <c r="F68" s="234"/>
      <c r="G68" s="234"/>
      <c r="H68" s="228">
        <f ca="1">BD</f>
        <v>0</v>
      </c>
      <c r="I68" s="228">
        <f ca="1">BL</f>
        <v>0</v>
      </c>
      <c r="J68" s="228">
        <f ca="1">BSD</f>
        <v>0</v>
      </c>
      <c r="K68" s="228">
        <f ca="1">BSL</f>
        <v>0</v>
      </c>
      <c r="L68" s="234"/>
      <c r="M68" s="234"/>
      <c r="N68" s="234"/>
      <c r="O68" s="234"/>
      <c r="P68" s="234">
        <v>0</v>
      </c>
      <c r="Q68" s="235" t="s">
        <v>218</v>
      </c>
    </row>
    <row r="69" spans="2:17" ht="20.100000000000001" customHeight="1">
      <c r="B69" s="230">
        <f t="shared" si="1"/>
        <v>64</v>
      </c>
      <c r="C69" s="204">
        <f t="shared" si="0"/>
        <v>43894</v>
      </c>
      <c r="D69" s="228">
        <f ca="1">JAD</f>
        <v>51260</v>
      </c>
      <c r="E69" s="228">
        <f ca="1">JAL</f>
        <v>14080</v>
      </c>
      <c r="F69" s="234"/>
      <c r="G69" s="234"/>
      <c r="H69" s="228">
        <f ca="1">BD</f>
        <v>0</v>
      </c>
      <c r="I69" s="228">
        <f ca="1">BL</f>
        <v>0</v>
      </c>
      <c r="J69" s="228">
        <f ca="1">BSD</f>
        <v>0</v>
      </c>
      <c r="K69" s="228">
        <f ca="1">BSL</f>
        <v>0</v>
      </c>
      <c r="L69" s="234"/>
      <c r="M69" s="234"/>
      <c r="N69" s="234"/>
      <c r="O69" s="234"/>
      <c r="P69" s="234">
        <v>0</v>
      </c>
      <c r="Q69" s="235" t="s">
        <v>218</v>
      </c>
    </row>
    <row r="70" spans="2:17" ht="20.100000000000001" customHeight="1">
      <c r="B70" s="230">
        <f t="shared" si="1"/>
        <v>65</v>
      </c>
      <c r="C70" s="204">
        <f t="shared" si="0"/>
        <v>43895</v>
      </c>
      <c r="D70" s="228">
        <f ca="1">JAD</f>
        <v>37290</v>
      </c>
      <c r="E70" s="228">
        <f ca="1">JAL</f>
        <v>22890</v>
      </c>
      <c r="F70" s="234"/>
      <c r="G70" s="234"/>
      <c r="H70" s="228">
        <f ca="1">BD</f>
        <v>0</v>
      </c>
      <c r="I70" s="228">
        <f ca="1">BL</f>
        <v>0</v>
      </c>
      <c r="J70" s="228">
        <f ca="1">BSD</f>
        <v>0</v>
      </c>
      <c r="K70" s="228">
        <f ca="1">BSL</f>
        <v>0</v>
      </c>
      <c r="L70" s="234"/>
      <c r="M70" s="234"/>
      <c r="N70" s="234"/>
      <c r="O70" s="234"/>
      <c r="P70" s="234">
        <v>0</v>
      </c>
      <c r="Q70" s="235" t="s">
        <v>218</v>
      </c>
    </row>
    <row r="71" spans="2:17" ht="20.100000000000001" customHeight="1">
      <c r="B71" s="230">
        <f t="shared" si="1"/>
        <v>66</v>
      </c>
      <c r="C71" s="204">
        <f t="shared" si="0"/>
        <v>43896</v>
      </c>
      <c r="D71" s="228">
        <f ca="1">JAD</f>
        <v>52820</v>
      </c>
      <c r="E71" s="228">
        <f ca="1">JAL</f>
        <v>41620</v>
      </c>
      <c r="F71" s="234"/>
      <c r="G71" s="234"/>
      <c r="H71" s="228">
        <f ca="1">BD</f>
        <v>0</v>
      </c>
      <c r="I71" s="228">
        <f ca="1">BL</f>
        <v>0</v>
      </c>
      <c r="J71" s="228">
        <f ca="1">BSD</f>
        <v>0</v>
      </c>
      <c r="K71" s="228">
        <f ca="1">BSL</f>
        <v>0</v>
      </c>
      <c r="L71" s="234"/>
      <c r="M71" s="234"/>
      <c r="N71" s="234"/>
      <c r="O71" s="234"/>
      <c r="P71" s="234">
        <v>0</v>
      </c>
      <c r="Q71" s="235" t="s">
        <v>218</v>
      </c>
    </row>
    <row r="72" spans="2:17" ht="20.100000000000001" customHeight="1">
      <c r="B72" s="230">
        <f t="shared" si="1"/>
        <v>67</v>
      </c>
      <c r="C72" s="204">
        <f t="shared" si="1"/>
        <v>43897</v>
      </c>
      <c r="D72" s="228">
        <f ca="1">JAD</f>
        <v>15450</v>
      </c>
      <c r="E72" s="228">
        <f ca="1">JAL</f>
        <v>46980</v>
      </c>
      <c r="F72" s="234"/>
      <c r="G72" s="234"/>
      <c r="H72" s="228">
        <f ca="1">BD</f>
        <v>0</v>
      </c>
      <c r="I72" s="228">
        <f ca="1">BL</f>
        <v>0</v>
      </c>
      <c r="J72" s="228">
        <f ca="1">BSD</f>
        <v>0</v>
      </c>
      <c r="K72" s="228">
        <f ca="1">BSL</f>
        <v>0</v>
      </c>
      <c r="L72" s="234"/>
      <c r="M72" s="234"/>
      <c r="N72" s="234"/>
      <c r="O72" s="234"/>
      <c r="P72" s="234">
        <v>0</v>
      </c>
      <c r="Q72" s="235" t="s">
        <v>218</v>
      </c>
    </row>
    <row r="73" spans="2:17" ht="20.100000000000001" customHeight="1">
      <c r="B73" s="230">
        <f t="shared" ref="B73:C136" si="2">+B72+1</f>
        <v>68</v>
      </c>
      <c r="C73" s="204">
        <f t="shared" si="2"/>
        <v>43898</v>
      </c>
      <c r="D73" s="228">
        <f ca="1">JAD</f>
        <v>0</v>
      </c>
      <c r="E73" s="228">
        <f ca="1">JAL</f>
        <v>0</v>
      </c>
      <c r="F73" s="234"/>
      <c r="G73" s="234"/>
      <c r="H73" s="228">
        <f ca="1">BD</f>
        <v>0</v>
      </c>
      <c r="I73" s="228">
        <f ca="1">BL</f>
        <v>0</v>
      </c>
      <c r="J73" s="228">
        <f ca="1">BSD</f>
        <v>0</v>
      </c>
      <c r="K73" s="228">
        <f ca="1">BSL</f>
        <v>0</v>
      </c>
      <c r="L73" s="234"/>
      <c r="M73" s="234"/>
      <c r="N73" s="234"/>
      <c r="O73" s="234"/>
      <c r="P73" s="234">
        <v>0</v>
      </c>
      <c r="Q73" s="235" t="s">
        <v>218</v>
      </c>
    </row>
    <row r="74" spans="2:17" ht="20.100000000000001" customHeight="1">
      <c r="B74" s="230">
        <f t="shared" si="2"/>
        <v>69</v>
      </c>
      <c r="C74" s="204">
        <f t="shared" si="2"/>
        <v>43899</v>
      </c>
      <c r="D74" s="228">
        <f ca="1">JAD</f>
        <v>75020</v>
      </c>
      <c r="E74" s="228">
        <f ca="1">JAL</f>
        <v>17910</v>
      </c>
      <c r="F74" s="234"/>
      <c r="G74" s="234"/>
      <c r="H74" s="228">
        <f ca="1">BD</f>
        <v>0</v>
      </c>
      <c r="I74" s="228">
        <f ca="1">BL</f>
        <v>0</v>
      </c>
      <c r="J74" s="228">
        <f ca="1">BSD</f>
        <v>0</v>
      </c>
      <c r="K74" s="228">
        <f ca="1">BSL</f>
        <v>0</v>
      </c>
      <c r="L74" s="234"/>
      <c r="M74" s="234"/>
      <c r="N74" s="234"/>
      <c r="O74" s="234"/>
      <c r="P74" s="234">
        <v>0</v>
      </c>
      <c r="Q74" s="235" t="s">
        <v>218</v>
      </c>
    </row>
    <row r="75" spans="2:17" ht="20.100000000000001" customHeight="1">
      <c r="B75" s="230">
        <f t="shared" si="2"/>
        <v>70</v>
      </c>
      <c r="C75" s="204">
        <f t="shared" si="2"/>
        <v>43900</v>
      </c>
      <c r="D75" s="228">
        <f ca="1">JAD</f>
        <v>67920</v>
      </c>
      <c r="E75" s="228">
        <f ca="1">JAL</f>
        <v>63970</v>
      </c>
      <c r="F75" s="234"/>
      <c r="G75" s="234"/>
      <c r="H75" s="228">
        <f ca="1">BD</f>
        <v>0</v>
      </c>
      <c r="I75" s="228">
        <f ca="1">BL</f>
        <v>0</v>
      </c>
      <c r="J75" s="228">
        <f ca="1">BSD</f>
        <v>0</v>
      </c>
      <c r="K75" s="228">
        <f ca="1">BSL</f>
        <v>0</v>
      </c>
      <c r="L75" s="234"/>
      <c r="M75" s="234"/>
      <c r="N75" s="234"/>
      <c r="O75" s="234"/>
      <c r="P75" s="234">
        <v>0</v>
      </c>
      <c r="Q75" s="235" t="s">
        <v>218</v>
      </c>
    </row>
    <row r="76" spans="2:17" ht="20.100000000000001" customHeight="1">
      <c r="B76" s="230">
        <f t="shared" si="2"/>
        <v>71</v>
      </c>
      <c r="C76" s="204">
        <f t="shared" si="2"/>
        <v>43901</v>
      </c>
      <c r="D76" s="228">
        <f ca="1">JAD</f>
        <v>36430</v>
      </c>
      <c r="E76" s="228">
        <f ca="1">JAL</f>
        <v>21610</v>
      </c>
      <c r="F76" s="234"/>
      <c r="G76" s="234"/>
      <c r="H76" s="228">
        <f ca="1">BD</f>
        <v>0</v>
      </c>
      <c r="I76" s="228">
        <f ca="1">BL</f>
        <v>0</v>
      </c>
      <c r="J76" s="228">
        <f ca="1">BSD</f>
        <v>0</v>
      </c>
      <c r="K76" s="228">
        <f ca="1">BSL</f>
        <v>0</v>
      </c>
      <c r="L76" s="234"/>
      <c r="M76" s="234"/>
      <c r="N76" s="234"/>
      <c r="O76" s="234"/>
      <c r="P76" s="234">
        <v>0</v>
      </c>
      <c r="Q76" s="235" t="s">
        <v>218</v>
      </c>
    </row>
    <row r="77" spans="2:17" ht="20.100000000000001" customHeight="1">
      <c r="B77" s="230">
        <f t="shared" si="2"/>
        <v>72</v>
      </c>
      <c r="C77" s="204">
        <f t="shared" si="2"/>
        <v>43902</v>
      </c>
      <c r="D77" s="228">
        <f ca="1">JAD</f>
        <v>51410</v>
      </c>
      <c r="E77" s="228">
        <f ca="1">JAL</f>
        <v>25220</v>
      </c>
      <c r="F77" s="234"/>
      <c r="G77" s="234"/>
      <c r="H77" s="228">
        <f ca="1">BD</f>
        <v>0</v>
      </c>
      <c r="I77" s="228">
        <f ca="1">BL</f>
        <v>0</v>
      </c>
      <c r="J77" s="228">
        <f ca="1">BSD</f>
        <v>0</v>
      </c>
      <c r="K77" s="228">
        <f ca="1">BSL</f>
        <v>0</v>
      </c>
      <c r="L77" s="234"/>
      <c r="M77" s="234"/>
      <c r="N77" s="234"/>
      <c r="O77" s="234"/>
      <c r="P77" s="234">
        <v>0</v>
      </c>
      <c r="Q77" s="235" t="s">
        <v>218</v>
      </c>
    </row>
    <row r="78" spans="2:17" ht="20.100000000000001" customHeight="1">
      <c r="B78" s="230">
        <f t="shared" si="2"/>
        <v>73</v>
      </c>
      <c r="C78" s="204">
        <f t="shared" si="2"/>
        <v>43903</v>
      </c>
      <c r="D78" s="228">
        <f ca="1">JAD</f>
        <v>20690</v>
      </c>
      <c r="E78" s="228">
        <f ca="1">JAL</f>
        <v>125390</v>
      </c>
      <c r="F78" s="234"/>
      <c r="G78" s="234"/>
      <c r="H78" s="228">
        <f ca="1">BD</f>
        <v>0</v>
      </c>
      <c r="I78" s="228">
        <f ca="1">BL</f>
        <v>0</v>
      </c>
      <c r="J78" s="228">
        <f ca="1">BSD</f>
        <v>0</v>
      </c>
      <c r="K78" s="228">
        <f ca="1">BSL</f>
        <v>0</v>
      </c>
      <c r="L78" s="234"/>
      <c r="M78" s="234"/>
      <c r="N78" s="234"/>
      <c r="O78" s="234"/>
      <c r="P78" s="234">
        <v>0</v>
      </c>
      <c r="Q78" s="235" t="s">
        <v>218</v>
      </c>
    </row>
    <row r="79" spans="2:17" ht="20.100000000000001" customHeight="1">
      <c r="B79" s="230">
        <f t="shared" si="2"/>
        <v>74</v>
      </c>
      <c r="C79" s="204">
        <f t="shared" si="2"/>
        <v>43904</v>
      </c>
      <c r="D79" s="228">
        <f ca="1">JAD</f>
        <v>81990</v>
      </c>
      <c r="E79" s="228">
        <f ca="1">JAL</f>
        <v>3430</v>
      </c>
      <c r="F79" s="234"/>
      <c r="G79" s="234"/>
      <c r="H79" s="228">
        <f ca="1">BD</f>
        <v>0</v>
      </c>
      <c r="I79" s="228">
        <f ca="1">BL</f>
        <v>0</v>
      </c>
      <c r="J79" s="228">
        <f ca="1">BSD</f>
        <v>0</v>
      </c>
      <c r="K79" s="228">
        <f ca="1">BSL</f>
        <v>0</v>
      </c>
      <c r="L79" s="234"/>
      <c r="M79" s="234"/>
      <c r="N79" s="234"/>
      <c r="O79" s="234"/>
      <c r="P79" s="234">
        <v>0</v>
      </c>
      <c r="Q79" s="235" t="s">
        <v>218</v>
      </c>
    </row>
    <row r="80" spans="2:17" ht="20.100000000000001" customHeight="1">
      <c r="B80" s="230">
        <f t="shared" si="2"/>
        <v>75</v>
      </c>
      <c r="C80" s="204">
        <f t="shared" si="2"/>
        <v>43905</v>
      </c>
      <c r="D80" s="228">
        <f ca="1">JAD</f>
        <v>0</v>
      </c>
      <c r="E80" s="228">
        <f ca="1">JAL</f>
        <v>0</v>
      </c>
      <c r="F80" s="234"/>
      <c r="G80" s="234"/>
      <c r="H80" s="228">
        <f ca="1">BD</f>
        <v>0</v>
      </c>
      <c r="I80" s="228">
        <f ca="1">BL</f>
        <v>0</v>
      </c>
      <c r="J80" s="228">
        <f ca="1">BSD</f>
        <v>0</v>
      </c>
      <c r="K80" s="228">
        <f ca="1">BSL</f>
        <v>0</v>
      </c>
      <c r="L80" s="234"/>
      <c r="M80" s="234"/>
      <c r="N80" s="234"/>
      <c r="O80" s="234"/>
      <c r="P80" s="234">
        <v>0</v>
      </c>
      <c r="Q80" s="235" t="s">
        <v>218</v>
      </c>
    </row>
    <row r="81" spans="2:17" ht="20.100000000000001" customHeight="1">
      <c r="B81" s="230">
        <f t="shared" si="2"/>
        <v>76</v>
      </c>
      <c r="C81" s="204">
        <f t="shared" si="2"/>
        <v>43906</v>
      </c>
      <c r="D81" s="228">
        <f ca="1">JAD</f>
        <v>72230</v>
      </c>
      <c r="E81" s="228">
        <f ca="1">JAL</f>
        <v>21610</v>
      </c>
      <c r="F81" s="234"/>
      <c r="G81" s="234"/>
      <c r="H81" s="228">
        <f ca="1">BD</f>
        <v>0</v>
      </c>
      <c r="I81" s="228">
        <f ca="1">BL</f>
        <v>0</v>
      </c>
      <c r="J81" s="228">
        <f ca="1">BSD</f>
        <v>0</v>
      </c>
      <c r="K81" s="228">
        <f ca="1">BSL</f>
        <v>0</v>
      </c>
      <c r="L81" s="234"/>
      <c r="M81" s="234"/>
      <c r="N81" s="234"/>
      <c r="O81" s="234"/>
      <c r="P81" s="234">
        <v>0</v>
      </c>
      <c r="Q81" s="235" t="s">
        <v>218</v>
      </c>
    </row>
    <row r="82" spans="2:17" ht="20.100000000000001" customHeight="1">
      <c r="B82" s="230">
        <f t="shared" si="2"/>
        <v>77</v>
      </c>
      <c r="C82" s="204">
        <f t="shared" si="2"/>
        <v>43907</v>
      </c>
      <c r="D82" s="228">
        <f ca="1">JAD</f>
        <v>19720</v>
      </c>
      <c r="E82" s="228">
        <f ca="1">JAL</f>
        <v>3020</v>
      </c>
      <c r="F82" s="234"/>
      <c r="G82" s="234"/>
      <c r="H82" s="228">
        <f ca="1">BD</f>
        <v>0</v>
      </c>
      <c r="I82" s="228">
        <f ca="1">BL</f>
        <v>0</v>
      </c>
      <c r="J82" s="228">
        <f ca="1">BSD</f>
        <v>0</v>
      </c>
      <c r="K82" s="228">
        <f ca="1">BSL</f>
        <v>0</v>
      </c>
      <c r="L82" s="234"/>
      <c r="M82" s="234"/>
      <c r="N82" s="234"/>
      <c r="O82" s="234"/>
      <c r="P82" s="234">
        <v>0</v>
      </c>
      <c r="Q82" s="235" t="s">
        <v>218</v>
      </c>
    </row>
    <row r="83" spans="2:17" ht="20.100000000000001" customHeight="1">
      <c r="B83" s="230">
        <f t="shared" si="2"/>
        <v>78</v>
      </c>
      <c r="C83" s="204">
        <f t="shared" si="2"/>
        <v>43908</v>
      </c>
      <c r="D83" s="228">
        <f ca="1">JAD</f>
        <v>33050</v>
      </c>
      <c r="E83" s="228">
        <f ca="1">JAL</f>
        <v>9670</v>
      </c>
      <c r="F83" s="234"/>
      <c r="G83" s="234"/>
      <c r="H83" s="228">
        <f ca="1">BD</f>
        <v>0</v>
      </c>
      <c r="I83" s="228">
        <f ca="1">BL</f>
        <v>0</v>
      </c>
      <c r="J83" s="228">
        <f ca="1">BSD</f>
        <v>0</v>
      </c>
      <c r="K83" s="228">
        <f ca="1">BSL</f>
        <v>0</v>
      </c>
      <c r="L83" s="234"/>
      <c r="M83" s="234"/>
      <c r="N83" s="234"/>
      <c r="O83" s="234"/>
      <c r="P83" s="234">
        <v>0</v>
      </c>
      <c r="Q83" s="235" t="s">
        <v>218</v>
      </c>
    </row>
    <row r="84" spans="2:17" ht="20.100000000000001" customHeight="1">
      <c r="B84" s="230">
        <f t="shared" si="2"/>
        <v>79</v>
      </c>
      <c r="C84" s="204">
        <f t="shared" si="2"/>
        <v>43909</v>
      </c>
      <c r="D84" s="228">
        <f ca="1">JAD</f>
        <v>34210</v>
      </c>
      <c r="E84" s="228">
        <f ca="1">JAL</f>
        <v>5400</v>
      </c>
      <c r="F84" s="234"/>
      <c r="G84" s="234"/>
      <c r="H84" s="228">
        <f ca="1">BD</f>
        <v>0</v>
      </c>
      <c r="I84" s="228">
        <f ca="1">BL</f>
        <v>0</v>
      </c>
      <c r="J84" s="228">
        <f ca="1">BSD</f>
        <v>0</v>
      </c>
      <c r="K84" s="228">
        <f ca="1">BSL</f>
        <v>0</v>
      </c>
      <c r="L84" s="234"/>
      <c r="M84" s="234"/>
      <c r="N84" s="234"/>
      <c r="O84" s="234"/>
      <c r="P84" s="234">
        <v>0</v>
      </c>
      <c r="Q84" s="235" t="s">
        <v>218</v>
      </c>
    </row>
    <row r="85" spans="2:17" ht="20.100000000000001" customHeight="1">
      <c r="B85" s="230">
        <f t="shared" si="2"/>
        <v>80</v>
      </c>
      <c r="C85" s="204">
        <f t="shared" si="2"/>
        <v>43910</v>
      </c>
      <c r="D85" s="228">
        <f ca="1">JAD</f>
        <v>25250</v>
      </c>
      <c r="E85" s="228">
        <f ca="1">JAL</f>
        <v>1520</v>
      </c>
      <c r="F85" s="234"/>
      <c r="G85" s="234"/>
      <c r="H85" s="228">
        <f ca="1">BD</f>
        <v>0</v>
      </c>
      <c r="I85" s="228">
        <f ca="1">BL</f>
        <v>0</v>
      </c>
      <c r="J85" s="228">
        <f ca="1">BSD</f>
        <v>0</v>
      </c>
      <c r="K85" s="228">
        <f ca="1">BSL</f>
        <v>0</v>
      </c>
      <c r="L85" s="234"/>
      <c r="M85" s="234"/>
      <c r="N85" s="234"/>
      <c r="O85" s="234"/>
      <c r="P85" s="234">
        <v>0</v>
      </c>
      <c r="Q85" s="235" t="s">
        <v>218</v>
      </c>
    </row>
    <row r="86" spans="2:17" ht="20.100000000000001" customHeight="1">
      <c r="B86" s="230">
        <f t="shared" si="2"/>
        <v>81</v>
      </c>
      <c r="C86" s="204">
        <f t="shared" si="2"/>
        <v>43911</v>
      </c>
      <c r="D86" s="228">
        <f ca="1">JAD</f>
        <v>30000</v>
      </c>
      <c r="E86" s="228">
        <f ca="1">JAL</f>
        <v>0</v>
      </c>
      <c r="F86" s="234"/>
      <c r="G86" s="234"/>
      <c r="H86" s="228">
        <f ca="1">BD</f>
        <v>0</v>
      </c>
      <c r="I86" s="228">
        <f ca="1">BL</f>
        <v>0</v>
      </c>
      <c r="J86" s="228">
        <f ca="1">BSD</f>
        <v>0</v>
      </c>
      <c r="K86" s="228">
        <f ca="1">BSL</f>
        <v>0</v>
      </c>
      <c r="L86" s="234"/>
      <c r="M86" s="234"/>
      <c r="N86" s="234"/>
      <c r="O86" s="234"/>
      <c r="P86" s="234">
        <v>0</v>
      </c>
      <c r="Q86" s="235" t="s">
        <v>218</v>
      </c>
    </row>
    <row r="87" spans="2:17" ht="20.100000000000001" customHeight="1">
      <c r="B87" s="230">
        <f t="shared" si="2"/>
        <v>82</v>
      </c>
      <c r="C87" s="204">
        <f t="shared" si="2"/>
        <v>43912</v>
      </c>
      <c r="D87" s="228">
        <f ca="1">JAD</f>
        <v>0</v>
      </c>
      <c r="E87" s="228">
        <f ca="1">JAL</f>
        <v>0</v>
      </c>
      <c r="F87" s="234"/>
      <c r="G87" s="234"/>
      <c r="H87" s="228">
        <f ca="1">BD</f>
        <v>0</v>
      </c>
      <c r="I87" s="228">
        <f ca="1">BL</f>
        <v>0</v>
      </c>
      <c r="J87" s="228">
        <f ca="1">BSD</f>
        <v>0</v>
      </c>
      <c r="K87" s="228">
        <f ca="1">BSL</f>
        <v>0</v>
      </c>
      <c r="L87" s="234"/>
      <c r="M87" s="234"/>
      <c r="N87" s="234"/>
      <c r="O87" s="234"/>
      <c r="P87" s="234">
        <v>0</v>
      </c>
      <c r="Q87" s="235" t="s">
        <v>218</v>
      </c>
    </row>
    <row r="88" spans="2:17" ht="20.100000000000001" customHeight="1">
      <c r="B88" s="230">
        <f t="shared" si="2"/>
        <v>83</v>
      </c>
      <c r="C88" s="204">
        <f t="shared" si="2"/>
        <v>43913</v>
      </c>
      <c r="D88" s="228">
        <f ca="1">JAD</f>
        <v>38030</v>
      </c>
      <c r="E88" s="228">
        <f ca="1">JAL</f>
        <v>137650</v>
      </c>
      <c r="F88" s="234"/>
      <c r="G88" s="234"/>
      <c r="H88" s="228">
        <f ca="1">BD</f>
        <v>0</v>
      </c>
      <c r="I88" s="228">
        <f ca="1">BL</f>
        <v>0</v>
      </c>
      <c r="J88" s="228">
        <f ca="1">BSD</f>
        <v>0</v>
      </c>
      <c r="K88" s="228">
        <f ca="1">BSL</f>
        <v>0</v>
      </c>
      <c r="L88" s="234"/>
      <c r="M88" s="234"/>
      <c r="N88" s="234"/>
      <c r="O88" s="234"/>
      <c r="P88" s="234">
        <v>0</v>
      </c>
      <c r="Q88" s="235" t="s">
        <v>218</v>
      </c>
    </row>
    <row r="89" spans="2:17" ht="20.100000000000001" customHeight="1">
      <c r="B89" s="230">
        <f t="shared" si="2"/>
        <v>84</v>
      </c>
      <c r="C89" s="204">
        <f t="shared" si="2"/>
        <v>43914</v>
      </c>
      <c r="D89" s="228">
        <f ca="1">JAD</f>
        <v>27860</v>
      </c>
      <c r="E89" s="228">
        <f ca="1">JAL</f>
        <v>131280</v>
      </c>
      <c r="F89" s="234"/>
      <c r="G89" s="234"/>
      <c r="H89" s="228">
        <f ca="1">BD</f>
        <v>0</v>
      </c>
      <c r="I89" s="228">
        <f ca="1">BL</f>
        <v>0</v>
      </c>
      <c r="J89" s="228">
        <f ca="1">BSD</f>
        <v>0</v>
      </c>
      <c r="K89" s="228">
        <f ca="1">BSL</f>
        <v>0</v>
      </c>
      <c r="L89" s="234"/>
      <c r="M89" s="234"/>
      <c r="N89" s="234"/>
      <c r="O89" s="234"/>
      <c r="P89" s="234">
        <v>0</v>
      </c>
      <c r="Q89" s="235" t="s">
        <v>218</v>
      </c>
    </row>
    <row r="90" spans="2:17" ht="20.100000000000001" customHeight="1">
      <c r="B90" s="230">
        <f t="shared" si="2"/>
        <v>85</v>
      </c>
      <c r="C90" s="204">
        <f t="shared" si="2"/>
        <v>43915</v>
      </c>
      <c r="D90" s="228">
        <f ca="1">JAD</f>
        <v>0</v>
      </c>
      <c r="E90" s="228">
        <f ca="1">JAL</f>
        <v>0</v>
      </c>
      <c r="F90" s="234"/>
      <c r="G90" s="234"/>
      <c r="H90" s="228">
        <f ca="1">BD</f>
        <v>0</v>
      </c>
      <c r="I90" s="228">
        <f ca="1">BL</f>
        <v>0</v>
      </c>
      <c r="J90" s="228">
        <f ca="1">BSD</f>
        <v>0</v>
      </c>
      <c r="K90" s="228">
        <f ca="1">BSL</f>
        <v>0</v>
      </c>
      <c r="L90" s="234"/>
      <c r="M90" s="234"/>
      <c r="N90" s="234"/>
      <c r="O90" s="234"/>
      <c r="P90" s="234">
        <v>0</v>
      </c>
      <c r="Q90" s="235" t="s">
        <v>218</v>
      </c>
    </row>
    <row r="91" spans="2:17" ht="20.100000000000001" customHeight="1">
      <c r="B91" s="230">
        <f t="shared" si="2"/>
        <v>86</v>
      </c>
      <c r="C91" s="204">
        <f t="shared" si="2"/>
        <v>43916</v>
      </c>
      <c r="D91" s="228">
        <f ca="1">JAD</f>
        <v>35140</v>
      </c>
      <c r="E91" s="228">
        <f ca="1">JAL</f>
        <v>44850</v>
      </c>
      <c r="F91" s="234"/>
      <c r="G91" s="234"/>
      <c r="H91" s="228">
        <f ca="1">BD</f>
        <v>0</v>
      </c>
      <c r="I91" s="228">
        <f ca="1">BL</f>
        <v>0</v>
      </c>
      <c r="J91" s="228">
        <f ca="1">BSD</f>
        <v>0</v>
      </c>
      <c r="K91" s="228">
        <f ca="1">BSL</f>
        <v>0</v>
      </c>
      <c r="L91" s="234"/>
      <c r="M91" s="234"/>
      <c r="N91" s="234"/>
      <c r="O91" s="234"/>
      <c r="P91" s="234">
        <v>0</v>
      </c>
      <c r="Q91" s="235" t="s">
        <v>218</v>
      </c>
    </row>
    <row r="92" spans="2:17" ht="20.100000000000001" customHeight="1">
      <c r="B92" s="230">
        <f t="shared" si="2"/>
        <v>87</v>
      </c>
      <c r="C92" s="204">
        <f t="shared" si="2"/>
        <v>43917</v>
      </c>
      <c r="D92" s="228">
        <f ca="1">JAD</f>
        <v>19220</v>
      </c>
      <c r="E92" s="228">
        <f ca="1">JAL</f>
        <v>5190</v>
      </c>
      <c r="F92" s="234"/>
      <c r="G92" s="234"/>
      <c r="H92" s="228">
        <f ca="1">BD</f>
        <v>0</v>
      </c>
      <c r="I92" s="228">
        <f ca="1">BL</f>
        <v>0</v>
      </c>
      <c r="J92" s="228">
        <f ca="1">BSD</f>
        <v>0</v>
      </c>
      <c r="K92" s="228">
        <f ca="1">BSL</f>
        <v>0</v>
      </c>
      <c r="L92" s="234"/>
      <c r="M92" s="234"/>
      <c r="N92" s="234"/>
      <c r="O92" s="234"/>
      <c r="P92" s="234">
        <v>0</v>
      </c>
      <c r="Q92" s="235" t="s">
        <v>218</v>
      </c>
    </row>
    <row r="93" spans="2:17" ht="20.100000000000001" customHeight="1">
      <c r="B93" s="230">
        <f t="shared" si="2"/>
        <v>88</v>
      </c>
      <c r="C93" s="204">
        <f t="shared" si="2"/>
        <v>43918</v>
      </c>
      <c r="D93" s="228">
        <f ca="1">JAD</f>
        <v>40820</v>
      </c>
      <c r="E93" s="228">
        <f ca="1">JAL</f>
        <v>3940</v>
      </c>
      <c r="F93" s="234"/>
      <c r="G93" s="234"/>
      <c r="H93" s="228">
        <f ca="1">BD</f>
        <v>0</v>
      </c>
      <c r="I93" s="228">
        <f ca="1">BL</f>
        <v>0</v>
      </c>
      <c r="J93" s="228">
        <f ca="1">BSD</f>
        <v>0</v>
      </c>
      <c r="K93" s="228">
        <f ca="1">BSL</f>
        <v>0</v>
      </c>
      <c r="L93" s="234"/>
      <c r="M93" s="234"/>
      <c r="N93" s="234"/>
      <c r="O93" s="234"/>
      <c r="P93" s="234">
        <v>0</v>
      </c>
      <c r="Q93" s="235" t="s">
        <v>218</v>
      </c>
    </row>
    <row r="94" spans="2:17" ht="20.100000000000001" customHeight="1">
      <c r="B94" s="230">
        <f t="shared" si="2"/>
        <v>89</v>
      </c>
      <c r="C94" s="204">
        <f t="shared" si="2"/>
        <v>43919</v>
      </c>
      <c r="D94" s="228">
        <f ca="1">JAD</f>
        <v>0</v>
      </c>
      <c r="E94" s="228">
        <f ca="1">JAL</f>
        <v>0</v>
      </c>
      <c r="F94" s="234"/>
      <c r="G94" s="549"/>
      <c r="H94" s="228">
        <f ca="1">BD</f>
        <v>0</v>
      </c>
      <c r="I94" s="228">
        <f ca="1">BL</f>
        <v>0</v>
      </c>
      <c r="J94" s="228">
        <f ca="1">BSD</f>
        <v>0</v>
      </c>
      <c r="K94" s="228">
        <f ca="1">BSL</f>
        <v>0</v>
      </c>
      <c r="L94" s="234"/>
      <c r="M94" s="234"/>
      <c r="N94" s="234"/>
      <c r="O94" s="234"/>
      <c r="P94" s="234">
        <v>0</v>
      </c>
      <c r="Q94" s="235" t="s">
        <v>218</v>
      </c>
    </row>
    <row r="95" spans="2:17" ht="20.100000000000001" customHeight="1">
      <c r="B95" s="230">
        <f t="shared" si="2"/>
        <v>90</v>
      </c>
      <c r="C95" s="204">
        <f t="shared" si="2"/>
        <v>43920</v>
      </c>
      <c r="D95" s="228">
        <f ca="1">JAD</f>
        <v>68240</v>
      </c>
      <c r="E95" s="228">
        <f ca="1">JAL</f>
        <v>28980</v>
      </c>
      <c r="F95" s="234"/>
      <c r="G95" s="234"/>
      <c r="H95" s="228">
        <f ca="1">BD</f>
        <v>0</v>
      </c>
      <c r="I95" s="228">
        <f ca="1">BL</f>
        <v>0</v>
      </c>
      <c r="J95" s="228">
        <f ca="1">BSD</f>
        <v>0</v>
      </c>
      <c r="K95" s="228">
        <f ca="1">BSL</f>
        <v>0</v>
      </c>
      <c r="L95" s="234"/>
      <c r="M95" s="234"/>
      <c r="N95" s="234"/>
      <c r="O95" s="234"/>
      <c r="P95" s="234">
        <v>0</v>
      </c>
      <c r="Q95" s="235" t="s">
        <v>218</v>
      </c>
    </row>
    <row r="96" spans="2:17" ht="20.100000000000001" customHeight="1">
      <c r="B96" s="230">
        <f t="shared" si="2"/>
        <v>91</v>
      </c>
      <c r="C96" s="204">
        <f t="shared" si="2"/>
        <v>43921</v>
      </c>
      <c r="D96" s="228">
        <f ca="1">JAD</f>
        <v>0</v>
      </c>
      <c r="E96" s="228">
        <f ca="1">JAL</f>
        <v>0</v>
      </c>
      <c r="F96" s="234"/>
      <c r="G96" s="234"/>
      <c r="H96" s="228">
        <f ca="1">BD</f>
        <v>0</v>
      </c>
      <c r="I96" s="228">
        <f ca="1">BL</f>
        <v>0</v>
      </c>
      <c r="J96" s="228">
        <f ca="1">BSD</f>
        <v>0</v>
      </c>
      <c r="K96" s="228">
        <f ca="1">BSL</f>
        <v>0</v>
      </c>
      <c r="L96" s="234"/>
      <c r="M96" s="234"/>
      <c r="N96" s="234"/>
      <c r="O96" s="234"/>
      <c r="P96" s="234">
        <v>0</v>
      </c>
      <c r="Q96" s="235" t="s">
        <v>218</v>
      </c>
    </row>
    <row r="97" spans="2:18" ht="20.100000000000001" customHeight="1">
      <c r="B97" s="230">
        <f t="shared" si="2"/>
        <v>92</v>
      </c>
      <c r="C97" s="204">
        <f t="shared" si="2"/>
        <v>43922</v>
      </c>
      <c r="D97" s="228">
        <f ca="1">JAD</f>
        <v>0</v>
      </c>
      <c r="E97" s="228">
        <f ca="1">JAL</f>
        <v>6040</v>
      </c>
      <c r="F97" s="234"/>
      <c r="G97" s="234"/>
      <c r="H97" s="228">
        <f ca="1">BD</f>
        <v>0</v>
      </c>
      <c r="I97" s="228">
        <f ca="1">BL</f>
        <v>0</v>
      </c>
      <c r="J97" s="228">
        <f ca="1">BSD</f>
        <v>0</v>
      </c>
      <c r="K97" s="228">
        <f ca="1">BSL</f>
        <v>0</v>
      </c>
      <c r="L97" s="234"/>
      <c r="M97" s="234"/>
      <c r="N97" s="234"/>
      <c r="O97" s="234"/>
      <c r="P97" s="234">
        <v>0</v>
      </c>
      <c r="Q97" s="235" t="s">
        <v>122</v>
      </c>
    </row>
    <row r="98" spans="2:18" ht="20.100000000000001" customHeight="1">
      <c r="B98" s="230">
        <f t="shared" si="2"/>
        <v>93</v>
      </c>
      <c r="C98" s="204">
        <f t="shared" si="2"/>
        <v>43923</v>
      </c>
      <c r="D98" s="228">
        <f ca="1">JAD</f>
        <v>0</v>
      </c>
      <c r="E98" s="228">
        <f ca="1">JAL</f>
        <v>3240</v>
      </c>
      <c r="F98" s="234"/>
      <c r="G98" s="234"/>
      <c r="H98" s="228">
        <f ca="1">BD</f>
        <v>0</v>
      </c>
      <c r="I98" s="228">
        <f ca="1">BL</f>
        <v>0</v>
      </c>
      <c r="J98" s="228">
        <f ca="1">BSD</f>
        <v>0</v>
      </c>
      <c r="K98" s="228">
        <f ca="1">BSL</f>
        <v>0</v>
      </c>
      <c r="L98" s="234"/>
      <c r="M98" s="234"/>
      <c r="N98" s="234"/>
      <c r="O98" s="234"/>
      <c r="P98" s="234">
        <v>0</v>
      </c>
      <c r="Q98" s="235" t="s">
        <v>122</v>
      </c>
    </row>
    <row r="99" spans="2:18" ht="20.100000000000001" customHeight="1">
      <c r="B99" s="230">
        <f t="shared" si="2"/>
        <v>94</v>
      </c>
      <c r="C99" s="204">
        <f t="shared" si="2"/>
        <v>43924</v>
      </c>
      <c r="D99" s="228">
        <f ca="1">JAD</f>
        <v>0</v>
      </c>
      <c r="E99" s="228">
        <f ca="1">JAL</f>
        <v>0</v>
      </c>
      <c r="F99" s="234"/>
      <c r="G99" s="234"/>
      <c r="H99" s="228">
        <f ca="1">BD</f>
        <v>0</v>
      </c>
      <c r="I99" s="228">
        <f ca="1">BL</f>
        <v>0</v>
      </c>
      <c r="J99" s="228">
        <f ca="1">BSD</f>
        <v>0</v>
      </c>
      <c r="K99" s="228">
        <f ca="1">BSL</f>
        <v>0</v>
      </c>
      <c r="L99" s="234"/>
      <c r="M99" s="234"/>
      <c r="N99" s="234"/>
      <c r="O99" s="234"/>
      <c r="P99" s="234">
        <v>0</v>
      </c>
      <c r="Q99" s="235" t="s">
        <v>122</v>
      </c>
    </row>
    <row r="100" spans="2:18" ht="20.100000000000001" customHeight="1">
      <c r="B100" s="230">
        <f t="shared" si="2"/>
        <v>95</v>
      </c>
      <c r="C100" s="204">
        <f t="shared" si="2"/>
        <v>43925</v>
      </c>
      <c r="D100" s="228">
        <f ca="1">JAD</f>
        <v>0</v>
      </c>
      <c r="E100" s="228">
        <f ca="1">JAL</f>
        <v>0</v>
      </c>
      <c r="F100" s="234"/>
      <c r="G100" s="234"/>
      <c r="H100" s="228">
        <f ca="1">BD</f>
        <v>0</v>
      </c>
      <c r="I100" s="228">
        <f ca="1">BL</f>
        <v>0</v>
      </c>
      <c r="J100" s="228">
        <f ca="1">BSD</f>
        <v>0</v>
      </c>
      <c r="K100" s="228">
        <f ca="1">BSL</f>
        <v>0</v>
      </c>
      <c r="L100" s="234"/>
      <c r="M100" s="234"/>
      <c r="N100" s="234"/>
      <c r="O100" s="234"/>
      <c r="P100" s="234">
        <v>0</v>
      </c>
      <c r="Q100" s="235" t="s">
        <v>122</v>
      </c>
    </row>
    <row r="101" spans="2:18" ht="20.100000000000001" customHeight="1">
      <c r="B101" s="230">
        <f t="shared" si="2"/>
        <v>96</v>
      </c>
      <c r="C101" s="204">
        <f t="shared" si="2"/>
        <v>43926</v>
      </c>
      <c r="D101" s="228">
        <f ca="1">JAD</f>
        <v>0</v>
      </c>
      <c r="E101" s="228">
        <f ca="1">JAL</f>
        <v>0</v>
      </c>
      <c r="F101" s="234"/>
      <c r="G101" s="234"/>
      <c r="H101" s="228">
        <f ca="1">BD</f>
        <v>0</v>
      </c>
      <c r="I101" s="228">
        <f ca="1">BL</f>
        <v>0</v>
      </c>
      <c r="J101" s="228">
        <f ca="1">BSD</f>
        <v>0</v>
      </c>
      <c r="K101" s="228">
        <f ca="1">BSL</f>
        <v>0</v>
      </c>
      <c r="L101" s="234"/>
      <c r="M101" s="234"/>
      <c r="N101" s="234"/>
      <c r="O101" s="234"/>
      <c r="P101" s="234">
        <v>0</v>
      </c>
      <c r="Q101" s="235" t="s">
        <v>122</v>
      </c>
    </row>
    <row r="102" spans="2:18" ht="20.100000000000001" customHeight="1">
      <c r="B102" s="230">
        <f t="shared" si="2"/>
        <v>97</v>
      </c>
      <c r="C102" s="204">
        <f t="shared" si="2"/>
        <v>43927</v>
      </c>
      <c r="D102" s="228">
        <f ca="1">JAD</f>
        <v>0</v>
      </c>
      <c r="E102" s="228">
        <f ca="1">JAL</f>
        <v>0</v>
      </c>
      <c r="F102" s="234"/>
      <c r="G102" s="234"/>
      <c r="H102" s="228">
        <f ca="1">BD</f>
        <v>0</v>
      </c>
      <c r="I102" s="228">
        <f ca="1">BL</f>
        <v>0</v>
      </c>
      <c r="J102" s="228">
        <f ca="1">BSD</f>
        <v>0</v>
      </c>
      <c r="K102" s="228">
        <f ca="1">BSL</f>
        <v>0</v>
      </c>
      <c r="L102" s="234"/>
      <c r="M102" s="234"/>
      <c r="N102" s="234"/>
      <c r="O102" s="234"/>
      <c r="P102" s="234">
        <v>0</v>
      </c>
      <c r="Q102" s="235" t="s">
        <v>122</v>
      </c>
    </row>
    <row r="103" spans="2:18" ht="20.100000000000001" customHeight="1">
      <c r="B103" s="230">
        <f t="shared" si="2"/>
        <v>98</v>
      </c>
      <c r="C103" s="204">
        <f t="shared" si="2"/>
        <v>43928</v>
      </c>
      <c r="D103" s="228">
        <f ca="1">JAD</f>
        <v>0</v>
      </c>
      <c r="E103" s="228">
        <f ca="1">JAL</f>
        <v>0</v>
      </c>
      <c r="F103" s="234"/>
      <c r="G103" s="234"/>
      <c r="H103" s="228">
        <f ca="1">BD</f>
        <v>0</v>
      </c>
      <c r="I103" s="228">
        <f ca="1">BL</f>
        <v>0</v>
      </c>
      <c r="J103" s="228">
        <f ca="1">BSD</f>
        <v>0</v>
      </c>
      <c r="K103" s="228">
        <f ca="1">BSL</f>
        <v>0</v>
      </c>
      <c r="L103" s="234"/>
      <c r="M103" s="234"/>
      <c r="N103" s="234"/>
      <c r="O103" s="234"/>
      <c r="P103" s="234">
        <v>0</v>
      </c>
      <c r="Q103" s="235" t="s">
        <v>122</v>
      </c>
    </row>
    <row r="104" spans="2:18" ht="20.100000000000001" customHeight="1">
      <c r="B104" s="230">
        <f t="shared" si="2"/>
        <v>99</v>
      </c>
      <c r="C104" s="204">
        <f t="shared" si="2"/>
        <v>43929</v>
      </c>
      <c r="D104" s="228">
        <f ca="1">JAD</f>
        <v>0</v>
      </c>
      <c r="E104" s="228">
        <f ca="1">JAL</f>
        <v>0</v>
      </c>
      <c r="F104" s="234"/>
      <c r="G104" s="234"/>
      <c r="H104" s="228">
        <f ca="1">BD</f>
        <v>0</v>
      </c>
      <c r="I104" s="228">
        <f ca="1">BL</f>
        <v>0</v>
      </c>
      <c r="J104" s="228">
        <f ca="1">BSD</f>
        <v>0</v>
      </c>
      <c r="K104" s="228">
        <f ca="1">BSL</f>
        <v>0</v>
      </c>
      <c r="L104" s="234"/>
      <c r="M104" s="234"/>
      <c r="N104" s="234"/>
      <c r="O104" s="234"/>
      <c r="P104" s="234">
        <v>0</v>
      </c>
      <c r="Q104" s="235" t="s">
        <v>122</v>
      </c>
    </row>
    <row r="105" spans="2:18" ht="20.100000000000001" customHeight="1">
      <c r="B105" s="230">
        <f t="shared" si="2"/>
        <v>100</v>
      </c>
      <c r="C105" s="204">
        <f t="shared" si="2"/>
        <v>43930</v>
      </c>
      <c r="D105" s="228">
        <f ca="1">JAD</f>
        <v>0</v>
      </c>
      <c r="E105" s="228">
        <f ca="1">JAL</f>
        <v>0</v>
      </c>
      <c r="F105" s="234"/>
      <c r="G105" s="234"/>
      <c r="H105" s="228">
        <f ca="1">BD</f>
        <v>0</v>
      </c>
      <c r="I105" s="228">
        <f ca="1">BL</f>
        <v>0</v>
      </c>
      <c r="J105" s="228">
        <f ca="1">BSD</f>
        <v>0</v>
      </c>
      <c r="K105" s="228">
        <f ca="1">BSL</f>
        <v>0</v>
      </c>
      <c r="L105" s="234"/>
      <c r="M105" s="234"/>
      <c r="N105" s="234"/>
      <c r="O105" s="234"/>
      <c r="P105" s="234">
        <v>0</v>
      </c>
      <c r="Q105" s="235" t="s">
        <v>122</v>
      </c>
      <c r="R105">
        <f>4530+4490</f>
        <v>9020</v>
      </c>
    </row>
    <row r="106" spans="2:18" ht="20.100000000000001" customHeight="1">
      <c r="B106" s="230">
        <f t="shared" si="2"/>
        <v>101</v>
      </c>
      <c r="C106" s="204">
        <f t="shared" si="2"/>
        <v>43931</v>
      </c>
      <c r="D106" s="228">
        <f ca="1">JAD</f>
        <v>0</v>
      </c>
      <c r="E106" s="228">
        <f ca="1">JAL</f>
        <v>0</v>
      </c>
      <c r="F106" s="234"/>
      <c r="G106" s="234"/>
      <c r="H106" s="228">
        <f ca="1">BD</f>
        <v>0</v>
      </c>
      <c r="I106" s="228">
        <f ca="1">BL</f>
        <v>0</v>
      </c>
      <c r="J106" s="228">
        <f ca="1">BSD</f>
        <v>0</v>
      </c>
      <c r="K106" s="228">
        <f ca="1">BSL</f>
        <v>0</v>
      </c>
      <c r="L106" s="234"/>
      <c r="M106" s="234"/>
      <c r="N106" s="234"/>
      <c r="O106" s="234"/>
      <c r="P106" s="234">
        <v>0</v>
      </c>
      <c r="Q106" s="235" t="s">
        <v>122</v>
      </c>
    </row>
    <row r="107" spans="2:18" ht="20.100000000000001" customHeight="1">
      <c r="B107" s="230">
        <f t="shared" si="2"/>
        <v>102</v>
      </c>
      <c r="C107" s="204">
        <f t="shared" si="2"/>
        <v>43932</v>
      </c>
      <c r="D107" s="228">
        <f ca="1">JAD</f>
        <v>0</v>
      </c>
      <c r="E107" s="228">
        <f ca="1">JAL</f>
        <v>0</v>
      </c>
      <c r="F107" s="234"/>
      <c r="G107" s="234"/>
      <c r="H107" s="228">
        <f ca="1">BD</f>
        <v>0</v>
      </c>
      <c r="I107" s="228">
        <f ca="1">BL</f>
        <v>0</v>
      </c>
      <c r="J107" s="228">
        <f ca="1">BSD</f>
        <v>0</v>
      </c>
      <c r="K107" s="228">
        <f ca="1">BSL</f>
        <v>0</v>
      </c>
      <c r="L107" s="234"/>
      <c r="M107" s="234"/>
      <c r="N107" s="234"/>
      <c r="O107" s="234"/>
      <c r="P107" s="234">
        <v>0</v>
      </c>
      <c r="Q107" s="235" t="s">
        <v>122</v>
      </c>
    </row>
    <row r="108" spans="2:18" ht="20.100000000000001" customHeight="1">
      <c r="B108" s="230">
        <f t="shared" si="2"/>
        <v>103</v>
      </c>
      <c r="C108" s="204">
        <f t="shared" si="2"/>
        <v>43933</v>
      </c>
      <c r="D108" s="228">
        <f ca="1">JAD</f>
        <v>0</v>
      </c>
      <c r="E108" s="228">
        <f ca="1">JAL</f>
        <v>0</v>
      </c>
      <c r="F108" s="234"/>
      <c r="G108" s="234"/>
      <c r="H108" s="228">
        <f ca="1">BD</f>
        <v>0</v>
      </c>
      <c r="I108" s="228">
        <f ca="1">BL</f>
        <v>0</v>
      </c>
      <c r="J108" s="228">
        <f ca="1">BSD</f>
        <v>0</v>
      </c>
      <c r="K108" s="228">
        <f ca="1">BSL</f>
        <v>0</v>
      </c>
      <c r="L108" s="234"/>
      <c r="M108" s="234"/>
      <c r="N108" s="234"/>
      <c r="O108" s="234"/>
      <c r="P108" s="234">
        <v>0</v>
      </c>
      <c r="Q108" s="235" t="s">
        <v>122</v>
      </c>
    </row>
    <row r="109" spans="2:18" ht="20.100000000000001" customHeight="1">
      <c r="B109" s="230">
        <f t="shared" si="2"/>
        <v>104</v>
      </c>
      <c r="C109" s="204">
        <f t="shared" si="2"/>
        <v>43934</v>
      </c>
      <c r="D109" s="228">
        <f ca="1">JAD</f>
        <v>0</v>
      </c>
      <c r="E109" s="228">
        <f ca="1">JAL</f>
        <v>0</v>
      </c>
      <c r="F109" s="234"/>
      <c r="G109" s="234"/>
      <c r="H109" s="228">
        <f ca="1">BD</f>
        <v>0</v>
      </c>
      <c r="I109" s="228">
        <f ca="1">BL</f>
        <v>0</v>
      </c>
      <c r="J109" s="228">
        <f ca="1">BSD</f>
        <v>0</v>
      </c>
      <c r="K109" s="228">
        <f ca="1">BSL</f>
        <v>0</v>
      </c>
      <c r="L109" s="234"/>
      <c r="M109" s="234"/>
      <c r="N109" s="234"/>
      <c r="O109" s="234"/>
      <c r="P109" s="234">
        <v>0</v>
      </c>
      <c r="Q109" s="235" t="s">
        <v>122</v>
      </c>
    </row>
    <row r="110" spans="2:18" ht="20.100000000000001" customHeight="1">
      <c r="B110" s="230">
        <f t="shared" si="2"/>
        <v>105</v>
      </c>
      <c r="C110" s="204">
        <f t="shared" si="2"/>
        <v>43935</v>
      </c>
      <c r="D110" s="228">
        <f ca="1">JAD</f>
        <v>0</v>
      </c>
      <c r="E110" s="228">
        <f ca="1">JAL</f>
        <v>0</v>
      </c>
      <c r="F110" s="234"/>
      <c r="G110" s="234"/>
      <c r="H110" s="228">
        <f ca="1">BD</f>
        <v>0</v>
      </c>
      <c r="I110" s="228">
        <f ca="1">BL</f>
        <v>0</v>
      </c>
      <c r="J110" s="228">
        <f ca="1">BSD</f>
        <v>0</v>
      </c>
      <c r="K110" s="228">
        <f ca="1">BSL</f>
        <v>0</v>
      </c>
      <c r="L110" s="234"/>
      <c r="M110" s="234"/>
      <c r="N110" s="234"/>
      <c r="O110" s="234"/>
      <c r="P110" s="234">
        <v>0</v>
      </c>
      <c r="Q110" s="235" t="s">
        <v>122</v>
      </c>
    </row>
    <row r="111" spans="2:18" ht="20.100000000000001" customHeight="1">
      <c r="B111" s="230">
        <f t="shared" si="2"/>
        <v>106</v>
      </c>
      <c r="C111" s="204">
        <f t="shared" si="2"/>
        <v>43936</v>
      </c>
      <c r="D111" s="228">
        <f ca="1">JAD</f>
        <v>0</v>
      </c>
      <c r="E111" s="228">
        <f ca="1">JAL</f>
        <v>0</v>
      </c>
      <c r="F111" s="234"/>
      <c r="G111" s="234"/>
      <c r="H111" s="228">
        <f ca="1">BD</f>
        <v>0</v>
      </c>
      <c r="I111" s="228">
        <f ca="1">BL</f>
        <v>0</v>
      </c>
      <c r="J111" s="228">
        <f ca="1">BSD</f>
        <v>0</v>
      </c>
      <c r="K111" s="228">
        <f ca="1">BSL</f>
        <v>0</v>
      </c>
      <c r="L111" s="234"/>
      <c r="M111" s="234"/>
      <c r="N111" s="234"/>
      <c r="O111" s="234"/>
      <c r="P111" s="234">
        <v>0</v>
      </c>
      <c r="Q111" s="235" t="s">
        <v>122</v>
      </c>
    </row>
    <row r="112" spans="2:18" ht="20.100000000000001" customHeight="1">
      <c r="B112" s="230">
        <f t="shared" si="2"/>
        <v>107</v>
      </c>
      <c r="C112" s="204">
        <f t="shared" si="2"/>
        <v>43937</v>
      </c>
      <c r="D112" s="228">
        <f ca="1">JAD</f>
        <v>0</v>
      </c>
      <c r="E112" s="228">
        <f ca="1">JAL</f>
        <v>0</v>
      </c>
      <c r="F112" s="234"/>
      <c r="G112" s="234"/>
      <c r="H112" s="228">
        <f ca="1">BD</f>
        <v>0</v>
      </c>
      <c r="I112" s="228">
        <f ca="1">BL</f>
        <v>0</v>
      </c>
      <c r="J112" s="228">
        <f ca="1">BSD</f>
        <v>0</v>
      </c>
      <c r="K112" s="228">
        <f ca="1">BSL</f>
        <v>0</v>
      </c>
      <c r="L112" s="234"/>
      <c r="M112" s="234"/>
      <c r="N112" s="234"/>
      <c r="O112" s="234"/>
      <c r="P112" s="234">
        <v>0</v>
      </c>
      <c r="Q112" s="235" t="s">
        <v>122</v>
      </c>
    </row>
    <row r="113" spans="2:17" ht="20.100000000000001" customHeight="1">
      <c r="B113" s="230">
        <f t="shared" si="2"/>
        <v>108</v>
      </c>
      <c r="C113" s="204">
        <f t="shared" si="2"/>
        <v>43938</v>
      </c>
      <c r="D113" s="228">
        <f ca="1">JAD</f>
        <v>0</v>
      </c>
      <c r="E113" s="228">
        <f ca="1">JAL</f>
        <v>0</v>
      </c>
      <c r="F113" s="234"/>
      <c r="G113" s="234"/>
      <c r="H113" s="228">
        <f ca="1">BD</f>
        <v>0</v>
      </c>
      <c r="I113" s="228">
        <f ca="1">BL</f>
        <v>0</v>
      </c>
      <c r="J113" s="228">
        <f ca="1">BSD</f>
        <v>0</v>
      </c>
      <c r="K113" s="228">
        <f ca="1">BSL</f>
        <v>0</v>
      </c>
      <c r="L113" s="234"/>
      <c r="M113" s="234"/>
      <c r="N113" s="234"/>
      <c r="O113" s="234"/>
      <c r="P113" s="234">
        <v>0</v>
      </c>
      <c r="Q113" s="235" t="s">
        <v>122</v>
      </c>
    </row>
    <row r="114" spans="2:17" ht="20.100000000000001" customHeight="1">
      <c r="B114" s="230">
        <f t="shared" si="2"/>
        <v>109</v>
      </c>
      <c r="C114" s="204">
        <f t="shared" si="2"/>
        <v>43939</v>
      </c>
      <c r="D114" s="228">
        <f ca="1">JAD</f>
        <v>0</v>
      </c>
      <c r="E114" s="228">
        <f ca="1">JAL</f>
        <v>0</v>
      </c>
      <c r="F114" s="234"/>
      <c r="G114" s="234"/>
      <c r="H114" s="228">
        <f ca="1">BD</f>
        <v>0</v>
      </c>
      <c r="I114" s="228">
        <f ca="1">BL</f>
        <v>0</v>
      </c>
      <c r="J114" s="228">
        <f ca="1">BSD</f>
        <v>0</v>
      </c>
      <c r="K114" s="228">
        <f ca="1">BSL</f>
        <v>0</v>
      </c>
      <c r="L114" s="234"/>
      <c r="M114" s="234"/>
      <c r="N114" s="234"/>
      <c r="O114" s="234"/>
      <c r="P114" s="234">
        <v>0</v>
      </c>
      <c r="Q114" s="235" t="s">
        <v>122</v>
      </c>
    </row>
    <row r="115" spans="2:17" ht="20.100000000000001" customHeight="1">
      <c r="B115" s="230">
        <f t="shared" si="2"/>
        <v>110</v>
      </c>
      <c r="C115" s="204">
        <f t="shared" si="2"/>
        <v>43940</v>
      </c>
      <c r="D115" s="228">
        <f ca="1">JAD</f>
        <v>0</v>
      </c>
      <c r="E115" s="228">
        <f ca="1">JAL</f>
        <v>0</v>
      </c>
      <c r="F115" s="234"/>
      <c r="G115" s="234"/>
      <c r="H115" s="228">
        <f ca="1">BD</f>
        <v>0</v>
      </c>
      <c r="I115" s="228">
        <f ca="1">BL</f>
        <v>0</v>
      </c>
      <c r="J115" s="228">
        <f ca="1">BSD</f>
        <v>0</v>
      </c>
      <c r="K115" s="228">
        <f ca="1">BSL</f>
        <v>0</v>
      </c>
      <c r="L115" s="234"/>
      <c r="M115" s="234"/>
      <c r="N115" s="234"/>
      <c r="O115" s="234"/>
      <c r="P115" s="234">
        <v>0</v>
      </c>
      <c r="Q115" s="235" t="s">
        <v>218</v>
      </c>
    </row>
    <row r="116" spans="2:17" ht="20.100000000000001" customHeight="1">
      <c r="B116" s="230">
        <f t="shared" si="2"/>
        <v>111</v>
      </c>
      <c r="C116" s="204">
        <f t="shared" si="2"/>
        <v>43941</v>
      </c>
      <c r="D116" s="228">
        <f ca="1">JAD</f>
        <v>0</v>
      </c>
      <c r="E116" s="228">
        <f ca="1">JAL</f>
        <v>0</v>
      </c>
      <c r="F116" s="234"/>
      <c r="G116" s="234"/>
      <c r="H116" s="228">
        <f ca="1">BD</f>
        <v>0</v>
      </c>
      <c r="I116" s="228">
        <f ca="1">BL</f>
        <v>0</v>
      </c>
      <c r="J116" s="228">
        <f ca="1">BSD</f>
        <v>0</v>
      </c>
      <c r="K116" s="228">
        <f ca="1">BSL</f>
        <v>0</v>
      </c>
      <c r="L116" s="234"/>
      <c r="M116" s="234"/>
      <c r="N116" s="234"/>
      <c r="O116" s="234"/>
      <c r="P116" s="234">
        <v>0</v>
      </c>
      <c r="Q116" s="235" t="s">
        <v>218</v>
      </c>
    </row>
    <row r="117" spans="2:17" ht="20.100000000000001" customHeight="1">
      <c r="B117" s="230">
        <f t="shared" si="2"/>
        <v>112</v>
      </c>
      <c r="C117" s="204">
        <f t="shared" si="2"/>
        <v>43942</v>
      </c>
      <c r="D117" s="228">
        <f ca="1">JAD</f>
        <v>0</v>
      </c>
      <c r="E117" s="228">
        <f ca="1">JAL</f>
        <v>0</v>
      </c>
      <c r="F117" s="234"/>
      <c r="G117" s="234"/>
      <c r="H117" s="228">
        <f ca="1">BD</f>
        <v>0</v>
      </c>
      <c r="I117" s="228">
        <f ca="1">BL</f>
        <v>0</v>
      </c>
      <c r="J117" s="228">
        <f ca="1">BSD</f>
        <v>0</v>
      </c>
      <c r="K117" s="228">
        <f ca="1">BSL</f>
        <v>0</v>
      </c>
      <c r="L117" s="234"/>
      <c r="M117" s="234"/>
      <c r="N117" s="234"/>
      <c r="O117" s="234"/>
      <c r="P117" s="234">
        <v>0</v>
      </c>
      <c r="Q117" s="235" t="s">
        <v>218</v>
      </c>
    </row>
    <row r="118" spans="2:17" ht="20.100000000000001" customHeight="1">
      <c r="B118" s="230">
        <f t="shared" si="2"/>
        <v>113</v>
      </c>
      <c r="C118" s="204">
        <f t="shared" si="2"/>
        <v>43943</v>
      </c>
      <c r="D118" s="228">
        <f ca="1">JAD</f>
        <v>0</v>
      </c>
      <c r="E118" s="228">
        <f ca="1">JAL</f>
        <v>0</v>
      </c>
      <c r="F118" s="234"/>
      <c r="G118" s="234"/>
      <c r="H118" s="228">
        <f ca="1">BD</f>
        <v>0</v>
      </c>
      <c r="I118" s="228">
        <f ca="1">BL</f>
        <v>0</v>
      </c>
      <c r="J118" s="228">
        <f ca="1">BSD</f>
        <v>0</v>
      </c>
      <c r="K118" s="228">
        <f ca="1">BSL</f>
        <v>0</v>
      </c>
      <c r="L118" s="234"/>
      <c r="M118" s="234"/>
      <c r="N118" s="234"/>
      <c r="O118" s="234"/>
      <c r="P118" s="234">
        <v>0</v>
      </c>
      <c r="Q118" s="235" t="s">
        <v>218</v>
      </c>
    </row>
    <row r="119" spans="2:17" ht="20.100000000000001" customHeight="1">
      <c r="B119" s="230">
        <f t="shared" si="2"/>
        <v>114</v>
      </c>
      <c r="C119" s="204">
        <f t="shared" si="2"/>
        <v>43944</v>
      </c>
      <c r="D119" s="228">
        <f ca="1">JAD</f>
        <v>0</v>
      </c>
      <c r="E119" s="228">
        <f ca="1">JAL</f>
        <v>0</v>
      </c>
      <c r="F119" s="234"/>
      <c r="G119" s="234"/>
      <c r="H119" s="228">
        <f ca="1">BD</f>
        <v>0</v>
      </c>
      <c r="I119" s="228">
        <f ca="1">BL</f>
        <v>0</v>
      </c>
      <c r="J119" s="228">
        <f ca="1">BSD</f>
        <v>0</v>
      </c>
      <c r="K119" s="228">
        <f ca="1">BSL</f>
        <v>0</v>
      </c>
      <c r="L119" s="234"/>
      <c r="M119" s="234"/>
      <c r="N119" s="234"/>
      <c r="O119" s="234"/>
      <c r="P119" s="234">
        <v>0</v>
      </c>
      <c r="Q119" s="235" t="s">
        <v>218</v>
      </c>
    </row>
    <row r="120" spans="2:17" ht="20.100000000000001" customHeight="1">
      <c r="B120" s="230">
        <f t="shared" si="2"/>
        <v>115</v>
      </c>
      <c r="C120" s="204">
        <f t="shared" si="2"/>
        <v>43945</v>
      </c>
      <c r="D120" s="228">
        <f ca="1">JAD</f>
        <v>0</v>
      </c>
      <c r="E120" s="228">
        <f ca="1">JAL</f>
        <v>0</v>
      </c>
      <c r="F120" s="234"/>
      <c r="G120" s="234"/>
      <c r="H120" s="228">
        <f ca="1">BD</f>
        <v>0</v>
      </c>
      <c r="I120" s="228">
        <f ca="1">BL</f>
        <v>0</v>
      </c>
      <c r="J120" s="228">
        <f ca="1">BSD</f>
        <v>0</v>
      </c>
      <c r="K120" s="228">
        <f ca="1">BSL</f>
        <v>0</v>
      </c>
      <c r="L120" s="234"/>
      <c r="M120" s="234"/>
      <c r="N120" s="234"/>
      <c r="O120" s="234"/>
      <c r="P120" s="234">
        <v>0</v>
      </c>
      <c r="Q120" s="235" t="s">
        <v>218</v>
      </c>
    </row>
    <row r="121" spans="2:17" ht="20.100000000000001" customHeight="1">
      <c r="B121" s="230">
        <f t="shared" si="2"/>
        <v>116</v>
      </c>
      <c r="C121" s="204">
        <f t="shared" si="2"/>
        <v>43946</v>
      </c>
      <c r="D121" s="228">
        <f ca="1">JAD</f>
        <v>0</v>
      </c>
      <c r="E121" s="228">
        <f ca="1">JAL</f>
        <v>0</v>
      </c>
      <c r="F121" s="234"/>
      <c r="G121" s="234"/>
      <c r="H121" s="228">
        <f ca="1">BD</f>
        <v>0</v>
      </c>
      <c r="I121" s="228">
        <f ca="1">BL</f>
        <v>0</v>
      </c>
      <c r="J121" s="228">
        <f ca="1">BSD</f>
        <v>0</v>
      </c>
      <c r="K121" s="228">
        <f ca="1">BSL</f>
        <v>0</v>
      </c>
      <c r="L121" s="234"/>
      <c r="M121" s="234"/>
      <c r="N121" s="234"/>
      <c r="O121" s="234"/>
      <c r="P121" s="234">
        <v>0</v>
      </c>
      <c r="Q121" s="235" t="s">
        <v>218</v>
      </c>
    </row>
    <row r="122" spans="2:17" ht="20.100000000000001" customHeight="1">
      <c r="B122" s="230">
        <f t="shared" si="2"/>
        <v>117</v>
      </c>
      <c r="C122" s="204">
        <f t="shared" si="2"/>
        <v>43947</v>
      </c>
      <c r="D122" s="228">
        <f ca="1">JAD</f>
        <v>0</v>
      </c>
      <c r="E122" s="228">
        <f ca="1">JAL</f>
        <v>0</v>
      </c>
      <c r="F122" s="234"/>
      <c r="G122" s="234"/>
      <c r="H122" s="228">
        <f ca="1">BD</f>
        <v>0</v>
      </c>
      <c r="I122" s="228">
        <f ca="1">BL</f>
        <v>0</v>
      </c>
      <c r="J122" s="228">
        <f ca="1">BSD</f>
        <v>0</v>
      </c>
      <c r="K122" s="228">
        <f ca="1">BSL</f>
        <v>0</v>
      </c>
      <c r="L122" s="234"/>
      <c r="M122" s="234"/>
      <c r="N122" s="234"/>
      <c r="O122" s="234"/>
      <c r="P122" s="234">
        <v>0</v>
      </c>
      <c r="Q122" s="235" t="s">
        <v>218</v>
      </c>
    </row>
    <row r="123" spans="2:17" ht="20.100000000000001" customHeight="1">
      <c r="B123" s="230">
        <f t="shared" si="2"/>
        <v>118</v>
      </c>
      <c r="C123" s="204">
        <f t="shared" si="2"/>
        <v>43948</v>
      </c>
      <c r="D123" s="228">
        <f ca="1">JAD</f>
        <v>0</v>
      </c>
      <c r="E123" s="228">
        <f ca="1">JAL</f>
        <v>0</v>
      </c>
      <c r="F123" s="234"/>
      <c r="G123" s="234"/>
      <c r="H123" s="228">
        <f ca="1">BD</f>
        <v>0</v>
      </c>
      <c r="I123" s="228">
        <f ca="1">BL</f>
        <v>0</v>
      </c>
      <c r="J123" s="228">
        <f ca="1">BSD</f>
        <v>0</v>
      </c>
      <c r="K123" s="228">
        <f ca="1">BSL</f>
        <v>0</v>
      </c>
      <c r="L123" s="234"/>
      <c r="M123" s="234"/>
      <c r="N123" s="234"/>
      <c r="O123" s="234"/>
      <c r="P123" s="234">
        <v>0</v>
      </c>
      <c r="Q123" s="235" t="s">
        <v>218</v>
      </c>
    </row>
    <row r="124" spans="2:17" ht="20.100000000000001" customHeight="1">
      <c r="B124" s="230">
        <f t="shared" si="2"/>
        <v>119</v>
      </c>
      <c r="C124" s="204">
        <f t="shared" si="2"/>
        <v>43949</v>
      </c>
      <c r="D124" s="228">
        <f ca="1">JAD</f>
        <v>0</v>
      </c>
      <c r="E124" s="228">
        <f ca="1">JAL</f>
        <v>0</v>
      </c>
      <c r="F124" s="234"/>
      <c r="G124" s="234"/>
      <c r="H124" s="228">
        <f ca="1">BD</f>
        <v>0</v>
      </c>
      <c r="I124" s="228">
        <f ca="1">BL</f>
        <v>0</v>
      </c>
      <c r="J124" s="228">
        <f ca="1">BSD</f>
        <v>0</v>
      </c>
      <c r="K124" s="228">
        <f ca="1">BSL</f>
        <v>0</v>
      </c>
      <c r="L124" s="234"/>
      <c r="M124" s="234"/>
      <c r="N124" s="234"/>
      <c r="O124" s="234"/>
      <c r="P124" s="234">
        <v>0</v>
      </c>
      <c r="Q124" s="235" t="s">
        <v>218</v>
      </c>
    </row>
    <row r="125" spans="2:17" ht="20.100000000000001" customHeight="1">
      <c r="B125" s="230">
        <f t="shared" si="2"/>
        <v>120</v>
      </c>
      <c r="C125" s="204">
        <f t="shared" si="2"/>
        <v>43950</v>
      </c>
      <c r="D125" s="228">
        <f ca="1">JAD</f>
        <v>0</v>
      </c>
      <c r="E125" s="228">
        <f ca="1">JAL</f>
        <v>0</v>
      </c>
      <c r="F125" s="234"/>
      <c r="G125" s="234"/>
      <c r="H125" s="228">
        <f ca="1">BD</f>
        <v>0</v>
      </c>
      <c r="I125" s="228">
        <f ca="1">BL</f>
        <v>0</v>
      </c>
      <c r="J125" s="228">
        <f ca="1">BSD</f>
        <v>0</v>
      </c>
      <c r="K125" s="228">
        <f ca="1">BSL</f>
        <v>0</v>
      </c>
      <c r="L125" s="234"/>
      <c r="M125" s="234"/>
      <c r="N125" s="234"/>
      <c r="O125" s="234"/>
      <c r="P125" s="234">
        <v>0</v>
      </c>
      <c r="Q125" s="235" t="s">
        <v>218</v>
      </c>
    </row>
    <row r="126" spans="2:17" ht="20.100000000000001" customHeight="1">
      <c r="B126" s="230">
        <f t="shared" si="2"/>
        <v>121</v>
      </c>
      <c r="C126" s="204">
        <f t="shared" si="2"/>
        <v>43951</v>
      </c>
      <c r="D126" s="228">
        <f ca="1">JAD</f>
        <v>0</v>
      </c>
      <c r="E126" s="228">
        <f ca="1">JAL</f>
        <v>0</v>
      </c>
      <c r="F126" s="234"/>
      <c r="G126" s="234"/>
      <c r="H126" s="228">
        <f ca="1">BD</f>
        <v>0</v>
      </c>
      <c r="I126" s="228">
        <f ca="1">BL</f>
        <v>0</v>
      </c>
      <c r="J126" s="228">
        <f ca="1">BSD</f>
        <v>0</v>
      </c>
      <c r="K126" s="228">
        <f ca="1">BSL</f>
        <v>0</v>
      </c>
      <c r="L126" s="234"/>
      <c r="M126" s="234"/>
      <c r="N126" s="234"/>
      <c r="O126" s="234"/>
      <c r="P126" s="234">
        <v>0</v>
      </c>
      <c r="Q126" s="235" t="s">
        <v>218</v>
      </c>
    </row>
    <row r="127" spans="2:17" ht="20.100000000000001" customHeight="1">
      <c r="B127" s="230">
        <f t="shared" si="2"/>
        <v>122</v>
      </c>
      <c r="C127" s="204">
        <f t="shared" si="2"/>
        <v>43952</v>
      </c>
      <c r="D127" s="228">
        <f ca="1">JAD</f>
        <v>0</v>
      </c>
      <c r="E127" s="228">
        <f ca="1">JAL</f>
        <v>0</v>
      </c>
      <c r="F127" s="234"/>
      <c r="G127" s="234"/>
      <c r="H127" s="228">
        <f ca="1">BD</f>
        <v>0</v>
      </c>
      <c r="I127" s="228">
        <f ca="1">BL</f>
        <v>0</v>
      </c>
      <c r="J127" s="228">
        <f ca="1">BSD</f>
        <v>0</v>
      </c>
      <c r="K127" s="228">
        <f ca="1">BSL</f>
        <v>0</v>
      </c>
      <c r="L127" s="234"/>
      <c r="M127" s="234"/>
      <c r="N127" s="234"/>
      <c r="O127" s="234"/>
      <c r="P127" s="234">
        <v>0</v>
      </c>
      <c r="Q127" s="235" t="s">
        <v>218</v>
      </c>
    </row>
    <row r="128" spans="2:17" ht="20.100000000000001" customHeight="1">
      <c r="B128" s="230">
        <f t="shared" si="2"/>
        <v>123</v>
      </c>
      <c r="C128" s="204">
        <f t="shared" si="2"/>
        <v>43953</v>
      </c>
      <c r="D128" s="228">
        <f ca="1">JAD</f>
        <v>0</v>
      </c>
      <c r="E128" s="228">
        <f ca="1">JAL</f>
        <v>0</v>
      </c>
      <c r="F128" s="234"/>
      <c r="G128" s="234"/>
      <c r="H128" s="228">
        <f ca="1">BD</f>
        <v>0</v>
      </c>
      <c r="I128" s="228">
        <f ca="1">BL</f>
        <v>0</v>
      </c>
      <c r="J128" s="228">
        <f ca="1">BSD</f>
        <v>0</v>
      </c>
      <c r="K128" s="228">
        <f ca="1">BSL</f>
        <v>0</v>
      </c>
      <c r="L128" s="234"/>
      <c r="M128" s="234"/>
      <c r="N128" s="234"/>
      <c r="O128" s="234"/>
      <c r="P128" s="234">
        <v>0</v>
      </c>
      <c r="Q128" s="235" t="s">
        <v>218</v>
      </c>
    </row>
    <row r="129" spans="2:17" ht="20.100000000000001" customHeight="1">
      <c r="B129" s="230">
        <f t="shared" si="2"/>
        <v>124</v>
      </c>
      <c r="C129" s="204">
        <f t="shared" si="2"/>
        <v>43954</v>
      </c>
      <c r="D129" s="228">
        <f ca="1">JAD</f>
        <v>0</v>
      </c>
      <c r="E129" s="228">
        <f ca="1">JAL</f>
        <v>0</v>
      </c>
      <c r="F129" s="234"/>
      <c r="G129" s="234"/>
      <c r="H129" s="228">
        <f ca="1">BD</f>
        <v>0</v>
      </c>
      <c r="I129" s="228">
        <f ca="1">BL</f>
        <v>0</v>
      </c>
      <c r="J129" s="228">
        <f ca="1">BSD</f>
        <v>0</v>
      </c>
      <c r="K129" s="228">
        <f ca="1">BSL</f>
        <v>0</v>
      </c>
      <c r="L129" s="234"/>
      <c r="M129" s="234"/>
      <c r="N129" s="234"/>
      <c r="O129" s="234"/>
      <c r="P129" s="234">
        <v>0</v>
      </c>
      <c r="Q129" s="235" t="s">
        <v>218</v>
      </c>
    </row>
    <row r="130" spans="2:17" ht="20.100000000000001" customHeight="1">
      <c r="B130" s="230">
        <f t="shared" si="2"/>
        <v>125</v>
      </c>
      <c r="C130" s="204">
        <f t="shared" si="2"/>
        <v>43955</v>
      </c>
      <c r="D130" s="228">
        <f ca="1">JAD</f>
        <v>0</v>
      </c>
      <c r="E130" s="228">
        <f ca="1">JAL</f>
        <v>0</v>
      </c>
      <c r="F130" s="234"/>
      <c r="G130" s="234"/>
      <c r="H130" s="228">
        <f ca="1">BD</f>
        <v>0</v>
      </c>
      <c r="I130" s="228">
        <f ca="1">BL</f>
        <v>0</v>
      </c>
      <c r="J130" s="228">
        <f ca="1">BSD</f>
        <v>0</v>
      </c>
      <c r="K130" s="228">
        <f ca="1">BSL</f>
        <v>0</v>
      </c>
      <c r="L130" s="234"/>
      <c r="M130" s="234"/>
      <c r="N130" s="234"/>
      <c r="O130" s="234"/>
      <c r="P130" s="234">
        <v>0</v>
      </c>
      <c r="Q130" s="235" t="s">
        <v>218</v>
      </c>
    </row>
    <row r="131" spans="2:17" ht="20.100000000000001" customHeight="1">
      <c r="B131" s="230">
        <f t="shared" si="2"/>
        <v>126</v>
      </c>
      <c r="C131" s="204">
        <f t="shared" si="2"/>
        <v>43956</v>
      </c>
      <c r="D131" s="228">
        <f ca="1">JAD</f>
        <v>0</v>
      </c>
      <c r="E131" s="228">
        <f ca="1">JAL</f>
        <v>0</v>
      </c>
      <c r="F131" s="234"/>
      <c r="G131" s="234"/>
      <c r="H131" s="228">
        <f ca="1">BD</f>
        <v>0</v>
      </c>
      <c r="I131" s="228">
        <f ca="1">BL</f>
        <v>0</v>
      </c>
      <c r="J131" s="228">
        <f ca="1">BSD</f>
        <v>0</v>
      </c>
      <c r="K131" s="228">
        <f ca="1">BSL</f>
        <v>0</v>
      </c>
      <c r="L131" s="234"/>
      <c r="M131" s="234"/>
      <c r="N131" s="234"/>
      <c r="O131" s="234"/>
      <c r="P131" s="234">
        <v>0</v>
      </c>
      <c r="Q131" s="235" t="s">
        <v>218</v>
      </c>
    </row>
    <row r="132" spans="2:17" ht="20.100000000000001" customHeight="1">
      <c r="B132" s="230">
        <f t="shared" si="2"/>
        <v>127</v>
      </c>
      <c r="C132" s="204">
        <f t="shared" si="2"/>
        <v>43957</v>
      </c>
      <c r="D132" s="228">
        <f ca="1">JAD</f>
        <v>0</v>
      </c>
      <c r="E132" s="228">
        <f ca="1">JAL</f>
        <v>0</v>
      </c>
      <c r="F132" s="234"/>
      <c r="G132" s="234"/>
      <c r="H132" s="228">
        <f ca="1">BD</f>
        <v>0</v>
      </c>
      <c r="I132" s="228">
        <f ca="1">BL</f>
        <v>0</v>
      </c>
      <c r="J132" s="228">
        <f ca="1">BSD</f>
        <v>0</v>
      </c>
      <c r="K132" s="228">
        <f ca="1">BSL</f>
        <v>0</v>
      </c>
      <c r="L132" s="234"/>
      <c r="M132" s="234"/>
      <c r="N132" s="234"/>
      <c r="O132" s="234"/>
      <c r="P132" s="234">
        <v>0</v>
      </c>
      <c r="Q132" s="235" t="s">
        <v>218</v>
      </c>
    </row>
    <row r="133" spans="2:17" ht="20.100000000000001" customHeight="1">
      <c r="B133" s="230">
        <f t="shared" si="2"/>
        <v>128</v>
      </c>
      <c r="C133" s="204">
        <f t="shared" si="2"/>
        <v>43958</v>
      </c>
      <c r="D133" s="228">
        <f ca="1">JAD</f>
        <v>0</v>
      </c>
      <c r="E133" s="228">
        <f ca="1">JAL</f>
        <v>0</v>
      </c>
      <c r="F133" s="234"/>
      <c r="G133" s="234"/>
      <c r="H133" s="228">
        <f ca="1">BD</f>
        <v>0</v>
      </c>
      <c r="I133" s="228">
        <f ca="1">BL</f>
        <v>0</v>
      </c>
      <c r="J133" s="228">
        <f ca="1">BSD</f>
        <v>0</v>
      </c>
      <c r="K133" s="228">
        <f ca="1">BSL</f>
        <v>0</v>
      </c>
      <c r="L133" s="234"/>
      <c r="M133" s="234"/>
      <c r="N133" s="234"/>
      <c r="O133" s="234"/>
      <c r="P133" s="234">
        <v>0</v>
      </c>
      <c r="Q133" s="235" t="s">
        <v>218</v>
      </c>
    </row>
    <row r="134" spans="2:17" ht="20.100000000000001" customHeight="1">
      <c r="B134" s="230">
        <f t="shared" si="2"/>
        <v>129</v>
      </c>
      <c r="C134" s="204">
        <f t="shared" si="2"/>
        <v>43959</v>
      </c>
      <c r="D134" s="228">
        <f ca="1">JAD</f>
        <v>0</v>
      </c>
      <c r="E134" s="228">
        <f ca="1">JAL</f>
        <v>0</v>
      </c>
      <c r="F134" s="234"/>
      <c r="G134" s="234"/>
      <c r="H134" s="228">
        <f ca="1">BD</f>
        <v>0</v>
      </c>
      <c r="I134" s="228">
        <f ca="1">BL</f>
        <v>0</v>
      </c>
      <c r="J134" s="228">
        <f ca="1">BSD</f>
        <v>0</v>
      </c>
      <c r="K134" s="228">
        <f ca="1">BSL</f>
        <v>0</v>
      </c>
      <c r="L134" s="234"/>
      <c r="M134" s="234"/>
      <c r="N134" s="234"/>
      <c r="O134" s="234"/>
      <c r="P134" s="234">
        <v>0</v>
      </c>
      <c r="Q134" s="235" t="s">
        <v>218</v>
      </c>
    </row>
    <row r="135" spans="2:17" ht="20.100000000000001" customHeight="1">
      <c r="B135" s="230">
        <f t="shared" si="2"/>
        <v>130</v>
      </c>
      <c r="C135" s="204">
        <f t="shared" si="2"/>
        <v>43960</v>
      </c>
      <c r="D135" s="228">
        <f ca="1">JAD</f>
        <v>0</v>
      </c>
      <c r="E135" s="228">
        <f ca="1">JAL</f>
        <v>0</v>
      </c>
      <c r="F135" s="234"/>
      <c r="G135" s="234"/>
      <c r="H135" s="228">
        <f ca="1">BD</f>
        <v>0</v>
      </c>
      <c r="I135" s="228">
        <f ca="1">BL</f>
        <v>0</v>
      </c>
      <c r="J135" s="228">
        <f ca="1">BSD</f>
        <v>0</v>
      </c>
      <c r="K135" s="228">
        <f ca="1">BSL</f>
        <v>0</v>
      </c>
      <c r="L135" s="234"/>
      <c r="M135" s="234"/>
      <c r="N135" s="234"/>
      <c r="O135" s="234"/>
      <c r="P135" s="234">
        <v>0</v>
      </c>
      <c r="Q135" s="235" t="s">
        <v>218</v>
      </c>
    </row>
    <row r="136" spans="2:17" ht="20.100000000000001" customHeight="1">
      <c r="B136" s="230">
        <f t="shared" si="2"/>
        <v>131</v>
      </c>
      <c r="C136" s="204">
        <f t="shared" si="2"/>
        <v>43961</v>
      </c>
      <c r="D136" s="228">
        <f ca="1">JAD</f>
        <v>0</v>
      </c>
      <c r="E136" s="228">
        <f ca="1">JAL</f>
        <v>0</v>
      </c>
      <c r="F136" s="234"/>
      <c r="G136" s="234"/>
      <c r="H136" s="228">
        <f ca="1">BD</f>
        <v>0</v>
      </c>
      <c r="I136" s="228">
        <f ca="1">BL</f>
        <v>0</v>
      </c>
      <c r="J136" s="228">
        <f ca="1">BSD</f>
        <v>0</v>
      </c>
      <c r="K136" s="228">
        <f ca="1">BSL</f>
        <v>0</v>
      </c>
      <c r="L136" s="234"/>
      <c r="M136" s="234"/>
      <c r="N136" s="234"/>
      <c r="O136" s="234"/>
      <c r="P136" s="234">
        <v>0</v>
      </c>
      <c r="Q136" s="235" t="s">
        <v>218</v>
      </c>
    </row>
    <row r="137" spans="2:17" ht="20.100000000000001" customHeight="1">
      <c r="B137" s="230">
        <f t="shared" ref="B137:C200" si="3">+B136+1</f>
        <v>132</v>
      </c>
      <c r="C137" s="204">
        <f t="shared" si="3"/>
        <v>43962</v>
      </c>
      <c r="D137" s="228">
        <f ca="1">JAD</f>
        <v>0</v>
      </c>
      <c r="E137" s="228">
        <f ca="1">JAL</f>
        <v>0</v>
      </c>
      <c r="F137" s="234"/>
      <c r="G137" s="234"/>
      <c r="H137" s="228">
        <f ca="1">BD</f>
        <v>0</v>
      </c>
      <c r="I137" s="228">
        <f ca="1">BL</f>
        <v>0</v>
      </c>
      <c r="J137" s="228">
        <f ca="1">BSD</f>
        <v>0</v>
      </c>
      <c r="K137" s="228">
        <f ca="1">BSL</f>
        <v>0</v>
      </c>
      <c r="L137" s="234"/>
      <c r="M137" s="234"/>
      <c r="N137" s="234"/>
      <c r="O137" s="234"/>
      <c r="P137" s="234">
        <v>0</v>
      </c>
      <c r="Q137" s="235" t="s">
        <v>218</v>
      </c>
    </row>
    <row r="138" spans="2:17" ht="20.100000000000001" customHeight="1">
      <c r="B138" s="230">
        <f t="shared" si="3"/>
        <v>133</v>
      </c>
      <c r="C138" s="204">
        <f t="shared" si="3"/>
        <v>43963</v>
      </c>
      <c r="D138" s="228">
        <f ca="1">JAD</f>
        <v>0</v>
      </c>
      <c r="E138" s="228">
        <f ca="1">JAL</f>
        <v>0</v>
      </c>
      <c r="F138" s="234"/>
      <c r="G138" s="234"/>
      <c r="H138" s="228">
        <f ca="1">BD</f>
        <v>0</v>
      </c>
      <c r="I138" s="228">
        <f ca="1">BL</f>
        <v>0</v>
      </c>
      <c r="J138" s="228">
        <f ca="1">BSD</f>
        <v>0</v>
      </c>
      <c r="K138" s="228">
        <f ca="1">BSL</f>
        <v>0</v>
      </c>
      <c r="L138" s="234"/>
      <c r="M138" s="234"/>
      <c r="N138" s="234"/>
      <c r="O138" s="234"/>
      <c r="P138" s="234">
        <v>0</v>
      </c>
      <c r="Q138" s="235" t="s">
        <v>218</v>
      </c>
    </row>
    <row r="139" spans="2:17" ht="20.100000000000001" customHeight="1">
      <c r="B139" s="230">
        <f t="shared" si="3"/>
        <v>134</v>
      </c>
      <c r="C139" s="204">
        <f t="shared" si="3"/>
        <v>43964</v>
      </c>
      <c r="D139" s="228">
        <f ca="1">JAD</f>
        <v>0</v>
      </c>
      <c r="E139" s="228">
        <f ca="1">JAL</f>
        <v>0</v>
      </c>
      <c r="F139" s="234"/>
      <c r="G139" s="234"/>
      <c r="H139" s="228">
        <f ca="1">BD</f>
        <v>0</v>
      </c>
      <c r="I139" s="228">
        <f ca="1">BL</f>
        <v>0</v>
      </c>
      <c r="J139" s="228">
        <f ca="1">BSD</f>
        <v>0</v>
      </c>
      <c r="K139" s="228">
        <f ca="1">BSL</f>
        <v>0</v>
      </c>
      <c r="L139" s="234"/>
      <c r="M139" s="234"/>
      <c r="N139" s="234"/>
      <c r="O139" s="234"/>
      <c r="P139" s="234">
        <v>0</v>
      </c>
      <c r="Q139" s="235" t="s">
        <v>218</v>
      </c>
    </row>
    <row r="140" spans="2:17" ht="20.100000000000001" customHeight="1">
      <c r="B140" s="230">
        <f t="shared" si="3"/>
        <v>135</v>
      </c>
      <c r="C140" s="204">
        <f t="shared" si="3"/>
        <v>43965</v>
      </c>
      <c r="D140" s="228">
        <f ca="1">JAD</f>
        <v>0</v>
      </c>
      <c r="E140" s="228">
        <f ca="1">JAL</f>
        <v>0</v>
      </c>
      <c r="F140" s="234"/>
      <c r="G140" s="234"/>
      <c r="H140" s="228">
        <f ca="1">BD</f>
        <v>0</v>
      </c>
      <c r="I140" s="228">
        <f ca="1">BL</f>
        <v>0</v>
      </c>
      <c r="J140" s="228">
        <f ca="1">BSD</f>
        <v>0</v>
      </c>
      <c r="K140" s="228">
        <f ca="1">BSL</f>
        <v>0</v>
      </c>
      <c r="L140" s="234"/>
      <c r="M140" s="234"/>
      <c r="N140" s="234"/>
      <c r="O140" s="234"/>
      <c r="P140" s="234">
        <v>0</v>
      </c>
      <c r="Q140" s="235" t="s">
        <v>218</v>
      </c>
    </row>
    <row r="141" spans="2:17" ht="20.100000000000001" customHeight="1">
      <c r="B141" s="230">
        <f t="shared" si="3"/>
        <v>136</v>
      </c>
      <c r="C141" s="204">
        <f t="shared" si="3"/>
        <v>43966</v>
      </c>
      <c r="D141" s="228">
        <f ca="1">JAD</f>
        <v>0</v>
      </c>
      <c r="E141" s="228">
        <f ca="1">JAL</f>
        <v>0</v>
      </c>
      <c r="F141" s="234"/>
      <c r="G141" s="234"/>
      <c r="H141" s="228">
        <f ca="1">BD</f>
        <v>0</v>
      </c>
      <c r="I141" s="228">
        <f ca="1">BL</f>
        <v>0</v>
      </c>
      <c r="J141" s="228">
        <f ca="1">BSD</f>
        <v>0</v>
      </c>
      <c r="K141" s="228">
        <f ca="1">BSL</f>
        <v>0</v>
      </c>
      <c r="L141" s="234"/>
      <c r="M141" s="234"/>
      <c r="N141" s="234"/>
      <c r="O141" s="234"/>
      <c r="P141" s="234">
        <v>0</v>
      </c>
      <c r="Q141" s="235" t="s">
        <v>218</v>
      </c>
    </row>
    <row r="142" spans="2:17" ht="20.100000000000001" customHeight="1">
      <c r="B142" s="230">
        <f t="shared" si="3"/>
        <v>137</v>
      </c>
      <c r="C142" s="204">
        <f t="shared" si="3"/>
        <v>43967</v>
      </c>
      <c r="D142" s="228">
        <f ca="1">JAD</f>
        <v>0</v>
      </c>
      <c r="E142" s="228">
        <f ca="1">JAL</f>
        <v>0</v>
      </c>
      <c r="F142" s="234"/>
      <c r="G142" s="234"/>
      <c r="H142" s="228">
        <f ca="1">BD</f>
        <v>0</v>
      </c>
      <c r="I142" s="228">
        <f ca="1">BL</f>
        <v>0</v>
      </c>
      <c r="J142" s="228">
        <f ca="1">BSD</f>
        <v>0</v>
      </c>
      <c r="K142" s="228">
        <f ca="1">BSL</f>
        <v>0</v>
      </c>
      <c r="L142" s="234"/>
      <c r="M142" s="234"/>
      <c r="N142" s="234"/>
      <c r="O142" s="234"/>
      <c r="P142" s="234">
        <v>0</v>
      </c>
      <c r="Q142" s="235" t="s">
        <v>218</v>
      </c>
    </row>
    <row r="143" spans="2:17" ht="20.100000000000001" customHeight="1">
      <c r="B143" s="230">
        <f t="shared" si="3"/>
        <v>138</v>
      </c>
      <c r="C143" s="204">
        <f t="shared" si="3"/>
        <v>43968</v>
      </c>
      <c r="D143" s="228">
        <f ca="1">JAD</f>
        <v>0</v>
      </c>
      <c r="E143" s="228">
        <f ca="1">JAL</f>
        <v>0</v>
      </c>
      <c r="F143" s="234"/>
      <c r="G143" s="234"/>
      <c r="H143" s="228">
        <f ca="1">BD</f>
        <v>0</v>
      </c>
      <c r="I143" s="228">
        <f ca="1">BL</f>
        <v>0</v>
      </c>
      <c r="J143" s="228">
        <f ca="1">BSD</f>
        <v>0</v>
      </c>
      <c r="K143" s="228">
        <f ca="1">BSL</f>
        <v>0</v>
      </c>
      <c r="L143" s="234"/>
      <c r="M143" s="234"/>
      <c r="N143" s="234"/>
      <c r="O143" s="234"/>
      <c r="P143" s="234">
        <v>0</v>
      </c>
      <c r="Q143" s="235" t="s">
        <v>218</v>
      </c>
    </row>
    <row r="144" spans="2:17" ht="20.100000000000001" customHeight="1">
      <c r="B144" s="230">
        <f t="shared" si="3"/>
        <v>139</v>
      </c>
      <c r="C144" s="204">
        <f t="shared" si="3"/>
        <v>43969</v>
      </c>
      <c r="D144" s="228">
        <f ca="1">JAD</f>
        <v>0</v>
      </c>
      <c r="E144" s="228">
        <f ca="1">JAL</f>
        <v>0</v>
      </c>
      <c r="F144" s="234"/>
      <c r="G144" s="234"/>
      <c r="H144" s="228">
        <f ca="1">BD</f>
        <v>0</v>
      </c>
      <c r="I144" s="228">
        <f ca="1">BL</f>
        <v>0</v>
      </c>
      <c r="J144" s="228">
        <f ca="1">BSD</f>
        <v>0</v>
      </c>
      <c r="K144" s="228">
        <f ca="1">BSL</f>
        <v>0</v>
      </c>
      <c r="L144" s="234"/>
      <c r="M144" s="234"/>
      <c r="N144" s="234"/>
      <c r="O144" s="234"/>
      <c r="P144" s="234">
        <v>0</v>
      </c>
      <c r="Q144" s="235" t="s">
        <v>218</v>
      </c>
    </row>
    <row r="145" spans="2:17" ht="20.100000000000001" customHeight="1">
      <c r="B145" s="230">
        <f t="shared" si="3"/>
        <v>140</v>
      </c>
      <c r="C145" s="204">
        <f t="shared" si="3"/>
        <v>43970</v>
      </c>
      <c r="D145" s="228">
        <f ca="1">JAD</f>
        <v>0</v>
      </c>
      <c r="E145" s="228">
        <f ca="1">JAL</f>
        <v>0</v>
      </c>
      <c r="F145" s="234"/>
      <c r="G145" s="234"/>
      <c r="H145" s="228">
        <f ca="1">BD</f>
        <v>0</v>
      </c>
      <c r="I145" s="228">
        <f ca="1">BL</f>
        <v>0</v>
      </c>
      <c r="J145" s="228">
        <f ca="1">BSD</f>
        <v>0</v>
      </c>
      <c r="K145" s="228">
        <f ca="1">BSL</f>
        <v>0</v>
      </c>
      <c r="L145" s="234"/>
      <c r="M145" s="234"/>
      <c r="N145" s="234"/>
      <c r="O145" s="234"/>
      <c r="P145" s="234">
        <v>0</v>
      </c>
      <c r="Q145" s="235" t="s">
        <v>218</v>
      </c>
    </row>
    <row r="146" spans="2:17" ht="20.100000000000001" customHeight="1">
      <c r="B146" s="230">
        <f t="shared" si="3"/>
        <v>141</v>
      </c>
      <c r="C146" s="204">
        <f t="shared" si="3"/>
        <v>43971</v>
      </c>
      <c r="D146" s="228">
        <f ca="1">JAD</f>
        <v>0</v>
      </c>
      <c r="E146" s="228">
        <f ca="1">JAL</f>
        <v>0</v>
      </c>
      <c r="F146" s="234"/>
      <c r="G146" s="234"/>
      <c r="H146" s="228">
        <f ca="1">BD</f>
        <v>0</v>
      </c>
      <c r="I146" s="228">
        <f ca="1">BL</f>
        <v>0</v>
      </c>
      <c r="J146" s="228">
        <f ca="1">BSD</f>
        <v>0</v>
      </c>
      <c r="K146" s="228">
        <f ca="1">BSL</f>
        <v>0</v>
      </c>
      <c r="L146" s="234"/>
      <c r="M146" s="234"/>
      <c r="N146" s="234"/>
      <c r="O146" s="234"/>
      <c r="P146" s="234">
        <v>0</v>
      </c>
      <c r="Q146" s="235" t="s">
        <v>218</v>
      </c>
    </row>
    <row r="147" spans="2:17" ht="20.100000000000001" customHeight="1">
      <c r="B147" s="230">
        <f t="shared" si="3"/>
        <v>142</v>
      </c>
      <c r="C147" s="204">
        <f t="shared" si="3"/>
        <v>43972</v>
      </c>
      <c r="D147" s="228">
        <f ca="1">JAD</f>
        <v>0</v>
      </c>
      <c r="E147" s="228">
        <f ca="1">JAL</f>
        <v>0</v>
      </c>
      <c r="F147" s="234"/>
      <c r="G147" s="234"/>
      <c r="H147" s="228">
        <f ca="1">BD</f>
        <v>0</v>
      </c>
      <c r="I147" s="228">
        <f ca="1">BL</f>
        <v>0</v>
      </c>
      <c r="J147" s="228">
        <f ca="1">BSD</f>
        <v>0</v>
      </c>
      <c r="K147" s="228">
        <f ca="1">BSL</f>
        <v>0</v>
      </c>
      <c r="L147" s="234"/>
      <c r="M147" s="234"/>
      <c r="N147" s="234"/>
      <c r="O147" s="234"/>
      <c r="P147" s="234">
        <v>0</v>
      </c>
      <c r="Q147" s="235" t="s">
        <v>218</v>
      </c>
    </row>
    <row r="148" spans="2:17" ht="20.100000000000001" customHeight="1">
      <c r="B148" s="230">
        <f t="shared" si="3"/>
        <v>143</v>
      </c>
      <c r="C148" s="204">
        <f t="shared" si="3"/>
        <v>43973</v>
      </c>
      <c r="D148" s="228">
        <f ca="1">JAD</f>
        <v>0</v>
      </c>
      <c r="E148" s="228">
        <f ca="1">JAL</f>
        <v>0</v>
      </c>
      <c r="F148" s="234"/>
      <c r="G148" s="234"/>
      <c r="H148" s="228">
        <f ca="1">BD</f>
        <v>0</v>
      </c>
      <c r="I148" s="228">
        <f ca="1">BL</f>
        <v>0</v>
      </c>
      <c r="J148" s="228">
        <f ca="1">BSD</f>
        <v>0</v>
      </c>
      <c r="K148" s="228">
        <f ca="1">BSL</f>
        <v>0</v>
      </c>
      <c r="L148" s="234"/>
      <c r="M148" s="234"/>
      <c r="N148" s="234"/>
      <c r="O148" s="234"/>
      <c r="P148" s="234">
        <v>0</v>
      </c>
      <c r="Q148" s="235" t="s">
        <v>218</v>
      </c>
    </row>
    <row r="149" spans="2:17" ht="20.100000000000001" customHeight="1">
      <c r="B149" s="230">
        <f t="shared" si="3"/>
        <v>144</v>
      </c>
      <c r="C149" s="204">
        <f t="shared" si="3"/>
        <v>43974</v>
      </c>
      <c r="D149" s="228">
        <f ca="1">JAD</f>
        <v>0</v>
      </c>
      <c r="E149" s="228">
        <f ca="1">JAL</f>
        <v>0</v>
      </c>
      <c r="F149" s="234"/>
      <c r="G149" s="234"/>
      <c r="H149" s="228">
        <f ca="1">BD</f>
        <v>0</v>
      </c>
      <c r="I149" s="228">
        <f ca="1">BL</f>
        <v>0</v>
      </c>
      <c r="J149" s="228">
        <f ca="1">BSD</f>
        <v>0</v>
      </c>
      <c r="K149" s="228">
        <f ca="1">BSL</f>
        <v>0</v>
      </c>
      <c r="L149" s="234"/>
      <c r="M149" s="234"/>
      <c r="N149" s="234"/>
      <c r="O149" s="234"/>
      <c r="P149" s="234">
        <v>0</v>
      </c>
      <c r="Q149" s="235" t="s">
        <v>218</v>
      </c>
    </row>
    <row r="150" spans="2:17" ht="20.100000000000001" customHeight="1">
      <c r="B150" s="230">
        <f t="shared" si="3"/>
        <v>145</v>
      </c>
      <c r="C150" s="204">
        <f t="shared" si="3"/>
        <v>43975</v>
      </c>
      <c r="D150" s="228">
        <f ca="1">JAD</f>
        <v>0</v>
      </c>
      <c r="E150" s="228">
        <f ca="1">JAL</f>
        <v>0</v>
      </c>
      <c r="F150" s="234"/>
      <c r="G150" s="234"/>
      <c r="H150" s="228">
        <f ca="1">BD</f>
        <v>0</v>
      </c>
      <c r="I150" s="228">
        <f ca="1">BL</f>
        <v>0</v>
      </c>
      <c r="J150" s="228">
        <f ca="1">BSD</f>
        <v>0</v>
      </c>
      <c r="K150" s="228">
        <f ca="1">BSL</f>
        <v>0</v>
      </c>
      <c r="L150" s="234"/>
      <c r="M150" s="234"/>
      <c r="N150" s="234"/>
      <c r="O150" s="234"/>
      <c r="P150" s="234">
        <v>0</v>
      </c>
      <c r="Q150" s="235" t="s">
        <v>218</v>
      </c>
    </row>
    <row r="151" spans="2:17" ht="20.100000000000001" customHeight="1">
      <c r="B151" s="230">
        <f t="shared" si="3"/>
        <v>146</v>
      </c>
      <c r="C151" s="204">
        <f t="shared" si="3"/>
        <v>43976</v>
      </c>
      <c r="D151" s="228">
        <f ca="1">JAD</f>
        <v>0</v>
      </c>
      <c r="E151" s="228">
        <f ca="1">JAL</f>
        <v>0</v>
      </c>
      <c r="F151" s="234"/>
      <c r="G151" s="234"/>
      <c r="H151" s="228">
        <f ca="1">BD</f>
        <v>0</v>
      </c>
      <c r="I151" s="228">
        <f ca="1">BL</f>
        <v>0</v>
      </c>
      <c r="J151" s="228">
        <f ca="1">BSD</f>
        <v>0</v>
      </c>
      <c r="K151" s="228">
        <f ca="1">BSL</f>
        <v>0</v>
      </c>
      <c r="L151" s="234"/>
      <c r="M151" s="234"/>
      <c r="N151" s="234"/>
      <c r="O151" s="234"/>
      <c r="P151" s="234">
        <v>0</v>
      </c>
      <c r="Q151" s="235" t="s">
        <v>218</v>
      </c>
    </row>
    <row r="152" spans="2:17" ht="20.100000000000001" customHeight="1">
      <c r="B152" s="230">
        <f t="shared" si="3"/>
        <v>147</v>
      </c>
      <c r="C152" s="204">
        <f t="shared" si="3"/>
        <v>43977</v>
      </c>
      <c r="D152" s="228">
        <f ca="1">JAD</f>
        <v>0</v>
      </c>
      <c r="E152" s="228">
        <f ca="1">JAL</f>
        <v>0</v>
      </c>
      <c r="F152" s="234"/>
      <c r="G152" s="234"/>
      <c r="H152" s="228">
        <f ca="1">BD</f>
        <v>0</v>
      </c>
      <c r="I152" s="228">
        <f ca="1">BL</f>
        <v>0</v>
      </c>
      <c r="J152" s="228">
        <f ca="1">BSD</f>
        <v>0</v>
      </c>
      <c r="K152" s="228">
        <f ca="1">BSL</f>
        <v>0</v>
      </c>
      <c r="L152" s="234"/>
      <c r="M152" s="234"/>
      <c r="N152" s="234"/>
      <c r="O152" s="234"/>
      <c r="P152" s="234">
        <v>0</v>
      </c>
      <c r="Q152" s="235" t="s">
        <v>218</v>
      </c>
    </row>
    <row r="153" spans="2:17" ht="20.100000000000001" customHeight="1">
      <c r="B153" s="230">
        <f t="shared" si="3"/>
        <v>148</v>
      </c>
      <c r="C153" s="204">
        <f t="shared" si="3"/>
        <v>43978</v>
      </c>
      <c r="D153" s="228">
        <f ca="1">JAD</f>
        <v>0</v>
      </c>
      <c r="E153" s="228">
        <f ca="1">JAL</f>
        <v>0</v>
      </c>
      <c r="F153" s="234"/>
      <c r="G153" s="234"/>
      <c r="H153" s="228">
        <f ca="1">BD</f>
        <v>0</v>
      </c>
      <c r="I153" s="228">
        <f ca="1">BL</f>
        <v>0</v>
      </c>
      <c r="J153" s="228">
        <f ca="1">BSD</f>
        <v>0</v>
      </c>
      <c r="K153" s="228">
        <f ca="1">BSL</f>
        <v>0</v>
      </c>
      <c r="L153" s="234"/>
      <c r="M153" s="234"/>
      <c r="N153" s="234"/>
      <c r="O153" s="234"/>
      <c r="P153" s="234">
        <v>0</v>
      </c>
      <c r="Q153" s="235" t="s">
        <v>218</v>
      </c>
    </row>
    <row r="154" spans="2:17" ht="20.100000000000001" customHeight="1">
      <c r="B154" s="230">
        <f t="shared" si="3"/>
        <v>149</v>
      </c>
      <c r="C154" s="204">
        <f t="shared" si="3"/>
        <v>43979</v>
      </c>
      <c r="D154" s="228">
        <f ca="1">JAD</f>
        <v>0</v>
      </c>
      <c r="E154" s="228">
        <f ca="1">JAL</f>
        <v>0</v>
      </c>
      <c r="F154" s="234"/>
      <c r="G154" s="234"/>
      <c r="H154" s="228">
        <f ca="1">BD</f>
        <v>0</v>
      </c>
      <c r="I154" s="228">
        <f ca="1">BL</f>
        <v>0</v>
      </c>
      <c r="J154" s="228">
        <f ca="1">BSD</f>
        <v>0</v>
      </c>
      <c r="K154" s="228">
        <f ca="1">BSL</f>
        <v>0</v>
      </c>
      <c r="L154" s="234"/>
      <c r="M154" s="234"/>
      <c r="N154" s="234"/>
      <c r="O154" s="234"/>
      <c r="P154" s="234">
        <v>0</v>
      </c>
      <c r="Q154" s="235" t="s">
        <v>122</v>
      </c>
    </row>
    <row r="155" spans="2:17" ht="20.100000000000001" customHeight="1">
      <c r="B155" s="230">
        <f t="shared" si="3"/>
        <v>150</v>
      </c>
      <c r="C155" s="204">
        <f t="shared" si="3"/>
        <v>43980</v>
      </c>
      <c r="D155" s="228">
        <f ca="1">JAD</f>
        <v>0</v>
      </c>
      <c r="E155" s="228">
        <f ca="1">JAL</f>
        <v>0</v>
      </c>
      <c r="F155" s="234"/>
      <c r="G155" s="234"/>
      <c r="H155" s="228">
        <f ca="1">BD</f>
        <v>0</v>
      </c>
      <c r="I155" s="228">
        <f ca="1">BL</f>
        <v>0</v>
      </c>
      <c r="J155" s="228">
        <f ca="1">BSD</f>
        <v>0</v>
      </c>
      <c r="K155" s="228">
        <f ca="1">BSL</f>
        <v>0</v>
      </c>
      <c r="L155" s="234"/>
      <c r="M155" s="234"/>
      <c r="N155" s="234"/>
      <c r="O155" s="234"/>
      <c r="P155" s="234">
        <v>0</v>
      </c>
      <c r="Q155" s="235" t="s">
        <v>218</v>
      </c>
    </row>
    <row r="156" spans="2:17" ht="20.100000000000001" customHeight="1">
      <c r="B156" s="230">
        <f t="shared" si="3"/>
        <v>151</v>
      </c>
      <c r="C156" s="204">
        <f t="shared" si="3"/>
        <v>43981</v>
      </c>
      <c r="D156" s="228">
        <f ca="1">JAD</f>
        <v>0</v>
      </c>
      <c r="E156" s="228">
        <f ca="1">JAL</f>
        <v>0</v>
      </c>
      <c r="F156" s="234"/>
      <c r="G156" s="234"/>
      <c r="H156" s="228">
        <f ca="1">BD</f>
        <v>0</v>
      </c>
      <c r="I156" s="228">
        <f ca="1">BL</f>
        <v>0</v>
      </c>
      <c r="J156" s="228">
        <f ca="1">BSD</f>
        <v>0</v>
      </c>
      <c r="K156" s="228">
        <f ca="1">BSL</f>
        <v>0</v>
      </c>
      <c r="L156" s="234"/>
      <c r="M156" s="234"/>
      <c r="N156" s="234"/>
      <c r="O156" s="234"/>
      <c r="P156" s="234">
        <v>0</v>
      </c>
      <c r="Q156" s="235" t="s">
        <v>130</v>
      </c>
    </row>
    <row r="157" spans="2:17" ht="20.100000000000001" customHeight="1">
      <c r="B157" s="230">
        <f t="shared" si="3"/>
        <v>152</v>
      </c>
      <c r="C157" s="204">
        <f t="shared" si="3"/>
        <v>43982</v>
      </c>
      <c r="D157" s="228">
        <f ca="1">JAD</f>
        <v>0</v>
      </c>
      <c r="E157" s="228">
        <f ca="1">JAL</f>
        <v>0</v>
      </c>
      <c r="F157" s="234"/>
      <c r="G157" s="234"/>
      <c r="H157" s="228">
        <f ca="1">BD</f>
        <v>0</v>
      </c>
      <c r="I157" s="228">
        <f ca="1">BL</f>
        <v>0</v>
      </c>
      <c r="J157" s="228">
        <f ca="1">BSD</f>
        <v>0</v>
      </c>
      <c r="K157" s="228">
        <f ca="1">BSL</f>
        <v>0</v>
      </c>
      <c r="L157" s="234"/>
      <c r="M157" s="234"/>
      <c r="N157" s="234"/>
      <c r="O157" s="234"/>
      <c r="P157" s="234">
        <v>0</v>
      </c>
      <c r="Q157" s="235" t="s">
        <v>218</v>
      </c>
    </row>
    <row r="158" spans="2:17" ht="20.100000000000001" customHeight="1">
      <c r="B158" s="230">
        <f t="shared" si="3"/>
        <v>153</v>
      </c>
      <c r="C158" s="204">
        <f t="shared" si="3"/>
        <v>43983</v>
      </c>
      <c r="D158" s="228">
        <f ca="1">JAD</f>
        <v>0</v>
      </c>
      <c r="E158" s="228">
        <f ca="1">JAL</f>
        <v>0</v>
      </c>
      <c r="F158" s="234"/>
      <c r="G158" s="234"/>
      <c r="H158" s="228">
        <f ca="1">BD</f>
        <v>0</v>
      </c>
      <c r="I158" s="228">
        <f ca="1">BL</f>
        <v>0</v>
      </c>
      <c r="J158" s="228">
        <f ca="1">BSD</f>
        <v>0</v>
      </c>
      <c r="K158" s="228">
        <f ca="1">BSL</f>
        <v>0</v>
      </c>
      <c r="L158" s="234"/>
      <c r="M158" s="234"/>
      <c r="N158" s="234"/>
      <c r="O158" s="234"/>
      <c r="P158" s="234">
        <v>0</v>
      </c>
      <c r="Q158" s="235" t="s">
        <v>218</v>
      </c>
    </row>
    <row r="159" spans="2:17" ht="20.100000000000001" customHeight="1">
      <c r="B159" s="230">
        <f t="shared" si="3"/>
        <v>154</v>
      </c>
      <c r="C159" s="204">
        <f t="shared" si="3"/>
        <v>43984</v>
      </c>
      <c r="D159" s="228">
        <f ca="1">JAD</f>
        <v>0</v>
      </c>
      <c r="E159" s="228">
        <f ca="1">JAL</f>
        <v>0</v>
      </c>
      <c r="F159" s="234"/>
      <c r="G159" s="234"/>
      <c r="H159" s="228">
        <f ca="1">BD</f>
        <v>0</v>
      </c>
      <c r="I159" s="228">
        <f ca="1">BL</f>
        <v>0</v>
      </c>
      <c r="J159" s="228">
        <f ca="1">BSD</f>
        <v>0</v>
      </c>
      <c r="K159" s="228">
        <f ca="1">BSL</f>
        <v>0</v>
      </c>
      <c r="L159" s="234"/>
      <c r="M159" s="234"/>
      <c r="N159" s="234"/>
      <c r="O159" s="234"/>
      <c r="P159" s="234">
        <v>0</v>
      </c>
      <c r="Q159" s="235" t="s">
        <v>218</v>
      </c>
    </row>
    <row r="160" spans="2:17" ht="20.100000000000001" customHeight="1">
      <c r="B160" s="230">
        <f t="shared" si="3"/>
        <v>155</v>
      </c>
      <c r="C160" s="204">
        <f t="shared" si="3"/>
        <v>43985</v>
      </c>
      <c r="D160" s="228">
        <f ca="1">JAD</f>
        <v>0</v>
      </c>
      <c r="E160" s="228">
        <f ca="1">JAL</f>
        <v>0</v>
      </c>
      <c r="F160" s="234"/>
      <c r="G160" s="234"/>
      <c r="H160" s="228">
        <f ca="1">BD</f>
        <v>0</v>
      </c>
      <c r="I160" s="228">
        <f ca="1">BL</f>
        <v>0</v>
      </c>
      <c r="J160" s="228">
        <f ca="1">BSD</f>
        <v>0</v>
      </c>
      <c r="K160" s="228">
        <f ca="1">BSL</f>
        <v>0</v>
      </c>
      <c r="L160" s="234"/>
      <c r="M160" s="234"/>
      <c r="N160" s="234"/>
      <c r="O160" s="234"/>
      <c r="P160" s="234">
        <v>0</v>
      </c>
      <c r="Q160" s="235" t="s">
        <v>218</v>
      </c>
    </row>
    <row r="161" spans="2:17" ht="20.100000000000001" customHeight="1">
      <c r="B161" s="230">
        <f t="shared" si="3"/>
        <v>156</v>
      </c>
      <c r="C161" s="204">
        <f t="shared" si="3"/>
        <v>43986</v>
      </c>
      <c r="D161" s="228">
        <f ca="1">JAD</f>
        <v>0</v>
      </c>
      <c r="E161" s="228">
        <f ca="1">JAL</f>
        <v>0</v>
      </c>
      <c r="F161" s="234"/>
      <c r="G161" s="234"/>
      <c r="H161" s="228">
        <f ca="1">BD</f>
        <v>0</v>
      </c>
      <c r="I161" s="228">
        <f ca="1">BL</f>
        <v>0</v>
      </c>
      <c r="J161" s="228">
        <f ca="1">BSD</f>
        <v>0</v>
      </c>
      <c r="K161" s="228">
        <f ca="1">BSL</f>
        <v>0</v>
      </c>
      <c r="L161" s="234"/>
      <c r="M161" s="234"/>
      <c r="N161" s="234"/>
      <c r="O161" s="234"/>
      <c r="P161" s="234">
        <v>0</v>
      </c>
      <c r="Q161" s="235" t="s">
        <v>218</v>
      </c>
    </row>
    <row r="162" spans="2:17" ht="20.100000000000001" customHeight="1">
      <c r="B162" s="230">
        <f t="shared" si="3"/>
        <v>157</v>
      </c>
      <c r="C162" s="204">
        <f t="shared" si="3"/>
        <v>43987</v>
      </c>
      <c r="D162" s="228">
        <f ca="1">JAD</f>
        <v>0</v>
      </c>
      <c r="E162" s="228">
        <f ca="1">JAL</f>
        <v>0</v>
      </c>
      <c r="F162" s="234"/>
      <c r="G162" s="234"/>
      <c r="H162" s="228">
        <f ca="1">BD</f>
        <v>0</v>
      </c>
      <c r="I162" s="228">
        <f ca="1">BL</f>
        <v>0</v>
      </c>
      <c r="J162" s="228">
        <f ca="1">BSD</f>
        <v>0</v>
      </c>
      <c r="K162" s="228">
        <f ca="1">BSL</f>
        <v>0</v>
      </c>
      <c r="L162" s="234"/>
      <c r="M162" s="234"/>
      <c r="N162" s="234"/>
      <c r="O162" s="234"/>
      <c r="P162" s="234">
        <v>0</v>
      </c>
      <c r="Q162" s="235" t="s">
        <v>218</v>
      </c>
    </row>
    <row r="163" spans="2:17" ht="20.100000000000001" customHeight="1">
      <c r="B163" s="230">
        <f t="shared" si="3"/>
        <v>158</v>
      </c>
      <c r="C163" s="204">
        <f t="shared" si="3"/>
        <v>43988</v>
      </c>
      <c r="D163" s="228">
        <f ca="1">JAD</f>
        <v>0</v>
      </c>
      <c r="E163" s="228">
        <f ca="1">JAL</f>
        <v>0</v>
      </c>
      <c r="F163" s="234"/>
      <c r="G163" s="234"/>
      <c r="H163" s="228">
        <f ca="1">BD</f>
        <v>0</v>
      </c>
      <c r="I163" s="228">
        <f ca="1">BL</f>
        <v>0</v>
      </c>
      <c r="J163" s="228">
        <f ca="1">BSD</f>
        <v>0</v>
      </c>
      <c r="K163" s="228">
        <f ca="1">BSL</f>
        <v>0</v>
      </c>
      <c r="L163" s="234"/>
      <c r="M163" s="234"/>
      <c r="N163" s="234"/>
      <c r="O163" s="234"/>
      <c r="P163" s="234">
        <v>0</v>
      </c>
      <c r="Q163" s="235" t="s">
        <v>218</v>
      </c>
    </row>
    <row r="164" spans="2:17" ht="20.100000000000001" customHeight="1">
      <c r="B164" s="230">
        <f t="shared" si="3"/>
        <v>159</v>
      </c>
      <c r="C164" s="204">
        <f t="shared" si="3"/>
        <v>43989</v>
      </c>
      <c r="D164" s="228">
        <f ca="1">JAD</f>
        <v>0</v>
      </c>
      <c r="E164" s="228">
        <f ca="1">JAL</f>
        <v>0</v>
      </c>
      <c r="F164" s="234"/>
      <c r="G164" s="234"/>
      <c r="H164" s="228">
        <f ca="1">BD</f>
        <v>0</v>
      </c>
      <c r="I164" s="228">
        <f ca="1">BL</f>
        <v>0</v>
      </c>
      <c r="J164" s="228">
        <f ca="1">BSD</f>
        <v>0</v>
      </c>
      <c r="K164" s="228">
        <f ca="1">BSL</f>
        <v>0</v>
      </c>
      <c r="L164" s="234"/>
      <c r="M164" s="234"/>
      <c r="N164" s="234"/>
      <c r="O164" s="234"/>
      <c r="P164" s="234">
        <v>0</v>
      </c>
      <c r="Q164" s="235" t="s">
        <v>218</v>
      </c>
    </row>
    <row r="165" spans="2:17" ht="20.100000000000001" customHeight="1">
      <c r="B165" s="230">
        <f t="shared" si="3"/>
        <v>160</v>
      </c>
      <c r="C165" s="204">
        <f t="shared" si="3"/>
        <v>43990</v>
      </c>
      <c r="D165" s="228">
        <f ca="1">JAD</f>
        <v>0</v>
      </c>
      <c r="E165" s="228">
        <f ca="1">JAL</f>
        <v>0</v>
      </c>
      <c r="F165" s="234"/>
      <c r="G165" s="234"/>
      <c r="H165" s="228">
        <f ca="1">BD</f>
        <v>0</v>
      </c>
      <c r="I165" s="228">
        <f ca="1">BL</f>
        <v>0</v>
      </c>
      <c r="J165" s="228">
        <f ca="1">BSD</f>
        <v>0</v>
      </c>
      <c r="K165" s="228">
        <f ca="1">BSL</f>
        <v>0</v>
      </c>
      <c r="L165" s="234"/>
      <c r="M165" s="234"/>
      <c r="N165" s="234"/>
      <c r="O165" s="234"/>
      <c r="P165" s="234">
        <v>0</v>
      </c>
      <c r="Q165" s="235" t="s">
        <v>218</v>
      </c>
    </row>
    <row r="166" spans="2:17" ht="20.100000000000001" customHeight="1">
      <c r="B166" s="230">
        <f t="shared" si="3"/>
        <v>161</v>
      </c>
      <c r="C166" s="204">
        <f t="shared" si="3"/>
        <v>43991</v>
      </c>
      <c r="D166" s="228">
        <f ca="1">JAD</f>
        <v>0</v>
      </c>
      <c r="E166" s="228">
        <f ca="1">JAL</f>
        <v>0</v>
      </c>
      <c r="F166" s="234"/>
      <c r="G166" s="234"/>
      <c r="H166" s="228">
        <f ca="1">BD</f>
        <v>0</v>
      </c>
      <c r="I166" s="228">
        <f ca="1">BL</f>
        <v>0</v>
      </c>
      <c r="J166" s="228">
        <f ca="1">BSD</f>
        <v>0</v>
      </c>
      <c r="K166" s="228">
        <f ca="1">BSL</f>
        <v>0</v>
      </c>
      <c r="L166" s="234"/>
      <c r="M166" s="234"/>
      <c r="N166" s="234"/>
      <c r="O166" s="234"/>
      <c r="P166" s="234">
        <v>0</v>
      </c>
      <c r="Q166" s="235" t="s">
        <v>218</v>
      </c>
    </row>
    <row r="167" spans="2:17" ht="20.100000000000001" customHeight="1">
      <c r="B167" s="230">
        <f t="shared" si="3"/>
        <v>162</v>
      </c>
      <c r="C167" s="204">
        <f t="shared" si="3"/>
        <v>43992</v>
      </c>
      <c r="D167" s="228">
        <f ca="1">JAD</f>
        <v>0</v>
      </c>
      <c r="E167" s="228">
        <f ca="1">JAL</f>
        <v>0</v>
      </c>
      <c r="F167" s="234"/>
      <c r="G167" s="234"/>
      <c r="H167" s="228">
        <f ca="1">BD</f>
        <v>0</v>
      </c>
      <c r="I167" s="228">
        <f ca="1">BL</f>
        <v>0</v>
      </c>
      <c r="J167" s="228">
        <f ca="1">BSD</f>
        <v>0</v>
      </c>
      <c r="K167" s="228">
        <f ca="1">BSL</f>
        <v>0</v>
      </c>
      <c r="L167" s="234"/>
      <c r="M167" s="234"/>
      <c r="N167" s="234"/>
      <c r="O167" s="234"/>
      <c r="P167" s="234">
        <v>0</v>
      </c>
      <c r="Q167" s="235" t="s">
        <v>218</v>
      </c>
    </row>
    <row r="168" spans="2:17" ht="20.100000000000001" customHeight="1">
      <c r="B168" s="230">
        <f t="shared" si="3"/>
        <v>163</v>
      </c>
      <c r="C168" s="204">
        <f t="shared" si="3"/>
        <v>43993</v>
      </c>
      <c r="D168" s="228">
        <f ca="1">JAD</f>
        <v>0</v>
      </c>
      <c r="E168" s="228">
        <f ca="1">JAL</f>
        <v>0</v>
      </c>
      <c r="F168" s="234"/>
      <c r="G168" s="234"/>
      <c r="H168" s="228">
        <f ca="1">BD</f>
        <v>0</v>
      </c>
      <c r="I168" s="228">
        <f ca="1">BL</f>
        <v>0</v>
      </c>
      <c r="J168" s="228">
        <f ca="1">BSD</f>
        <v>0</v>
      </c>
      <c r="K168" s="228">
        <f ca="1">BSL</f>
        <v>0</v>
      </c>
      <c r="L168" s="234"/>
      <c r="M168" s="234"/>
      <c r="N168" s="234"/>
      <c r="O168" s="234"/>
      <c r="P168" s="234">
        <v>0</v>
      </c>
      <c r="Q168" s="235" t="s">
        <v>218</v>
      </c>
    </row>
    <row r="169" spans="2:17" ht="20.100000000000001" customHeight="1">
      <c r="B169" s="230">
        <f t="shared" si="3"/>
        <v>164</v>
      </c>
      <c r="C169" s="204">
        <f t="shared" si="3"/>
        <v>43994</v>
      </c>
      <c r="D169" s="228">
        <f ca="1">JAD</f>
        <v>0</v>
      </c>
      <c r="E169" s="228">
        <f ca="1">JAL</f>
        <v>0</v>
      </c>
      <c r="F169" s="234"/>
      <c r="G169" s="234"/>
      <c r="H169" s="228">
        <f ca="1">BD</f>
        <v>0</v>
      </c>
      <c r="I169" s="228">
        <f ca="1">BL</f>
        <v>0</v>
      </c>
      <c r="J169" s="228">
        <f ca="1">BSD</f>
        <v>0</v>
      </c>
      <c r="K169" s="228">
        <f ca="1">BSL</f>
        <v>0</v>
      </c>
      <c r="L169" s="234"/>
      <c r="M169" s="234"/>
      <c r="N169" s="234"/>
      <c r="O169" s="234"/>
      <c r="P169" s="234">
        <v>0</v>
      </c>
      <c r="Q169" s="235" t="s">
        <v>218</v>
      </c>
    </row>
    <row r="170" spans="2:17" ht="20.100000000000001" customHeight="1">
      <c r="B170" s="230">
        <f t="shared" si="3"/>
        <v>165</v>
      </c>
      <c r="C170" s="204">
        <f t="shared" si="3"/>
        <v>43995</v>
      </c>
      <c r="D170" s="228">
        <f ca="1">JAD</f>
        <v>0</v>
      </c>
      <c r="E170" s="228">
        <f ca="1">JAL</f>
        <v>0</v>
      </c>
      <c r="F170" s="234"/>
      <c r="G170" s="234"/>
      <c r="H170" s="228">
        <f ca="1">BD</f>
        <v>0</v>
      </c>
      <c r="I170" s="228">
        <f ca="1">BL</f>
        <v>0</v>
      </c>
      <c r="J170" s="228">
        <f ca="1">BSD</f>
        <v>0</v>
      </c>
      <c r="K170" s="228">
        <f ca="1">BSL</f>
        <v>0</v>
      </c>
      <c r="L170" s="234"/>
      <c r="M170" s="234"/>
      <c r="N170" s="234"/>
      <c r="O170" s="234"/>
      <c r="P170" s="234">
        <v>0</v>
      </c>
      <c r="Q170" s="235" t="s">
        <v>218</v>
      </c>
    </row>
    <row r="171" spans="2:17" ht="20.100000000000001" customHeight="1">
      <c r="B171" s="230">
        <f t="shared" si="3"/>
        <v>166</v>
      </c>
      <c r="C171" s="204">
        <f t="shared" si="3"/>
        <v>43996</v>
      </c>
      <c r="D171" s="228">
        <f ca="1">JAD</f>
        <v>0</v>
      </c>
      <c r="E171" s="228">
        <f ca="1">JAL</f>
        <v>0</v>
      </c>
      <c r="F171" s="234"/>
      <c r="G171" s="234"/>
      <c r="H171" s="228">
        <f ca="1">BD</f>
        <v>0</v>
      </c>
      <c r="I171" s="228">
        <f ca="1">BL</f>
        <v>0</v>
      </c>
      <c r="J171" s="228">
        <f ca="1">BSD</f>
        <v>0</v>
      </c>
      <c r="K171" s="228">
        <f ca="1">BSL</f>
        <v>0</v>
      </c>
      <c r="L171" s="234"/>
      <c r="M171" s="234"/>
      <c r="N171" s="234"/>
      <c r="O171" s="234"/>
      <c r="P171" s="234">
        <v>0</v>
      </c>
      <c r="Q171" s="235" t="s">
        <v>218</v>
      </c>
    </row>
    <row r="172" spans="2:17" ht="20.100000000000001" customHeight="1">
      <c r="B172" s="230">
        <f t="shared" si="3"/>
        <v>167</v>
      </c>
      <c r="C172" s="204">
        <f t="shared" si="3"/>
        <v>43997</v>
      </c>
      <c r="D172" s="228">
        <f ca="1">JAD</f>
        <v>0</v>
      </c>
      <c r="E172" s="228">
        <f ca="1">JAL</f>
        <v>0</v>
      </c>
      <c r="F172" s="234"/>
      <c r="G172" s="234"/>
      <c r="H172" s="228">
        <f ca="1">BD</f>
        <v>0</v>
      </c>
      <c r="I172" s="228">
        <f ca="1">BL</f>
        <v>0</v>
      </c>
      <c r="J172" s="228">
        <f ca="1">BSD</f>
        <v>0</v>
      </c>
      <c r="K172" s="228">
        <f ca="1">BSL</f>
        <v>0</v>
      </c>
      <c r="L172" s="234"/>
      <c r="M172" s="234"/>
      <c r="N172" s="234"/>
      <c r="O172" s="234"/>
      <c r="P172" s="234">
        <v>0</v>
      </c>
      <c r="Q172" s="235" t="s">
        <v>218</v>
      </c>
    </row>
    <row r="173" spans="2:17" ht="20.100000000000001" customHeight="1">
      <c r="B173" s="230">
        <f t="shared" si="3"/>
        <v>168</v>
      </c>
      <c r="C173" s="204">
        <f t="shared" si="3"/>
        <v>43998</v>
      </c>
      <c r="D173" s="228">
        <f ca="1">JAD</f>
        <v>0</v>
      </c>
      <c r="E173" s="228">
        <f ca="1">JAL</f>
        <v>0</v>
      </c>
      <c r="F173" s="234"/>
      <c r="G173" s="234"/>
      <c r="H173" s="228">
        <f ca="1">BD</f>
        <v>0</v>
      </c>
      <c r="I173" s="228">
        <f ca="1">BL</f>
        <v>0</v>
      </c>
      <c r="J173" s="228">
        <f ca="1">BSD</f>
        <v>0</v>
      </c>
      <c r="K173" s="228">
        <f ca="1">BSL</f>
        <v>0</v>
      </c>
      <c r="L173" s="234"/>
      <c r="M173" s="234"/>
      <c r="N173" s="234"/>
      <c r="O173" s="234"/>
      <c r="P173" s="234">
        <v>0</v>
      </c>
      <c r="Q173" s="235" t="s">
        <v>218</v>
      </c>
    </row>
    <row r="174" spans="2:17" ht="20.100000000000001" customHeight="1">
      <c r="B174" s="230">
        <f t="shared" si="3"/>
        <v>169</v>
      </c>
      <c r="C174" s="204">
        <f t="shared" si="3"/>
        <v>43999</v>
      </c>
      <c r="D174" s="228">
        <f ca="1">JAD</f>
        <v>0</v>
      </c>
      <c r="E174" s="228">
        <f ca="1">JAL</f>
        <v>0</v>
      </c>
      <c r="F174" s="234"/>
      <c r="G174" s="234"/>
      <c r="H174" s="228">
        <f ca="1">BD</f>
        <v>0</v>
      </c>
      <c r="I174" s="228">
        <f ca="1">BL</f>
        <v>0</v>
      </c>
      <c r="J174" s="228">
        <f ca="1">BSD</f>
        <v>0</v>
      </c>
      <c r="K174" s="228">
        <f ca="1">BSL</f>
        <v>0</v>
      </c>
      <c r="L174" s="234"/>
      <c r="M174" s="234"/>
      <c r="N174" s="234"/>
      <c r="O174" s="234"/>
      <c r="P174" s="234">
        <v>0</v>
      </c>
      <c r="Q174" s="235" t="s">
        <v>218</v>
      </c>
    </row>
    <row r="175" spans="2:17" ht="20.100000000000001" customHeight="1">
      <c r="B175" s="230">
        <f t="shared" si="3"/>
        <v>170</v>
      </c>
      <c r="C175" s="204">
        <f t="shared" si="3"/>
        <v>44000</v>
      </c>
      <c r="D175" s="228">
        <f ca="1">JAD</f>
        <v>0</v>
      </c>
      <c r="E175" s="228">
        <f ca="1">JAL</f>
        <v>0</v>
      </c>
      <c r="F175" s="234"/>
      <c r="G175" s="234"/>
      <c r="H175" s="228">
        <f ca="1">BD</f>
        <v>0</v>
      </c>
      <c r="I175" s="228">
        <f ca="1">BL</f>
        <v>0</v>
      </c>
      <c r="J175" s="228">
        <f ca="1">BSD</f>
        <v>0</v>
      </c>
      <c r="K175" s="228">
        <f ca="1">BSL</f>
        <v>0</v>
      </c>
      <c r="L175" s="234"/>
      <c r="M175" s="234"/>
      <c r="N175" s="234"/>
      <c r="O175" s="234"/>
      <c r="P175" s="234">
        <v>0</v>
      </c>
      <c r="Q175" s="235" t="s">
        <v>218</v>
      </c>
    </row>
    <row r="176" spans="2:17" ht="20.100000000000001" customHeight="1">
      <c r="B176" s="230">
        <f t="shared" si="3"/>
        <v>171</v>
      </c>
      <c r="C176" s="204">
        <f t="shared" si="3"/>
        <v>44001</v>
      </c>
      <c r="D176" s="228">
        <f ca="1">JAD</f>
        <v>0</v>
      </c>
      <c r="E176" s="228">
        <f ca="1">JAL</f>
        <v>0</v>
      </c>
      <c r="F176" s="234"/>
      <c r="G176" s="234"/>
      <c r="H176" s="228">
        <f ca="1">BD</f>
        <v>0</v>
      </c>
      <c r="I176" s="228">
        <f ca="1">BL</f>
        <v>0</v>
      </c>
      <c r="J176" s="228">
        <f ca="1">BSD</f>
        <v>0</v>
      </c>
      <c r="K176" s="228">
        <f ca="1">BSL</f>
        <v>0</v>
      </c>
      <c r="L176" s="234"/>
      <c r="M176" s="234"/>
      <c r="N176" s="234"/>
      <c r="O176" s="234"/>
      <c r="P176" s="234">
        <v>0</v>
      </c>
      <c r="Q176" s="235" t="s">
        <v>218</v>
      </c>
    </row>
    <row r="177" spans="2:17" ht="20.100000000000001" customHeight="1">
      <c r="B177" s="230">
        <f t="shared" si="3"/>
        <v>172</v>
      </c>
      <c r="C177" s="204">
        <f t="shared" si="3"/>
        <v>44002</v>
      </c>
      <c r="D177" s="228">
        <f ca="1">JAD</f>
        <v>0</v>
      </c>
      <c r="E177" s="228">
        <f ca="1">JAL</f>
        <v>0</v>
      </c>
      <c r="F177" s="234"/>
      <c r="G177" s="234"/>
      <c r="H177" s="228">
        <f ca="1">BD</f>
        <v>0</v>
      </c>
      <c r="I177" s="228">
        <f ca="1">BL</f>
        <v>0</v>
      </c>
      <c r="J177" s="228">
        <f ca="1">BSD</f>
        <v>0</v>
      </c>
      <c r="K177" s="228">
        <f ca="1">BSL</f>
        <v>0</v>
      </c>
      <c r="L177" s="234"/>
      <c r="M177" s="234"/>
      <c r="N177" s="234"/>
      <c r="O177" s="234"/>
      <c r="P177" s="234">
        <v>0</v>
      </c>
      <c r="Q177" s="235" t="s">
        <v>218</v>
      </c>
    </row>
    <row r="178" spans="2:17" ht="20.100000000000001" customHeight="1">
      <c r="B178" s="230">
        <f t="shared" si="3"/>
        <v>173</v>
      </c>
      <c r="C178" s="204">
        <f t="shared" si="3"/>
        <v>44003</v>
      </c>
      <c r="D178" s="228">
        <f ca="1">JAD</f>
        <v>0</v>
      </c>
      <c r="E178" s="228">
        <f ca="1">JAL</f>
        <v>0</v>
      </c>
      <c r="F178" s="234"/>
      <c r="G178" s="234"/>
      <c r="H178" s="228">
        <f ca="1">BD</f>
        <v>0</v>
      </c>
      <c r="I178" s="228">
        <f ca="1">BL</f>
        <v>0</v>
      </c>
      <c r="J178" s="228">
        <f ca="1">BSD</f>
        <v>0</v>
      </c>
      <c r="K178" s="228">
        <f ca="1">BSL</f>
        <v>0</v>
      </c>
      <c r="L178" s="234"/>
      <c r="M178" s="234"/>
      <c r="N178" s="234"/>
      <c r="O178" s="234"/>
      <c r="P178" s="234">
        <v>0</v>
      </c>
      <c r="Q178" s="235" t="s">
        <v>218</v>
      </c>
    </row>
    <row r="179" spans="2:17" ht="20.100000000000001" customHeight="1">
      <c r="B179" s="230">
        <f t="shared" si="3"/>
        <v>174</v>
      </c>
      <c r="C179" s="204">
        <f t="shared" si="3"/>
        <v>44004</v>
      </c>
      <c r="D179" s="228">
        <f ca="1">JAD</f>
        <v>0</v>
      </c>
      <c r="E179" s="228">
        <f ca="1">JAL</f>
        <v>0</v>
      </c>
      <c r="F179" s="234"/>
      <c r="G179" s="234"/>
      <c r="H179" s="228">
        <f ca="1">BD</f>
        <v>0</v>
      </c>
      <c r="I179" s="228">
        <f ca="1">BL</f>
        <v>0</v>
      </c>
      <c r="J179" s="228">
        <f ca="1">BSD</f>
        <v>0</v>
      </c>
      <c r="K179" s="228">
        <f ca="1">BSL</f>
        <v>0</v>
      </c>
      <c r="L179" s="234"/>
      <c r="M179" s="234"/>
      <c r="N179" s="234"/>
      <c r="O179" s="234"/>
      <c r="P179" s="234">
        <v>0</v>
      </c>
      <c r="Q179" s="235" t="s">
        <v>218</v>
      </c>
    </row>
    <row r="180" spans="2:17" ht="20.100000000000001" customHeight="1">
      <c r="B180" s="230">
        <f t="shared" si="3"/>
        <v>175</v>
      </c>
      <c r="C180" s="204">
        <f t="shared" si="3"/>
        <v>44005</v>
      </c>
      <c r="D180" s="228">
        <f ca="1">JAD</f>
        <v>0</v>
      </c>
      <c r="E180" s="228">
        <f ca="1">JAL</f>
        <v>0</v>
      </c>
      <c r="F180" s="234"/>
      <c r="G180" s="234"/>
      <c r="H180" s="228">
        <f ca="1">BD</f>
        <v>0</v>
      </c>
      <c r="I180" s="228">
        <f ca="1">BL</f>
        <v>0</v>
      </c>
      <c r="J180" s="228">
        <f ca="1">BSD</f>
        <v>0</v>
      </c>
      <c r="K180" s="228">
        <f ca="1">BSL</f>
        <v>0</v>
      </c>
      <c r="L180" s="234"/>
      <c r="M180" s="234"/>
      <c r="N180" s="234"/>
      <c r="O180" s="234"/>
      <c r="P180" s="234">
        <v>0</v>
      </c>
      <c r="Q180" s="235" t="s">
        <v>218</v>
      </c>
    </row>
    <row r="181" spans="2:17" ht="20.100000000000001" customHeight="1">
      <c r="B181" s="230">
        <f t="shared" si="3"/>
        <v>176</v>
      </c>
      <c r="C181" s="204">
        <f t="shared" si="3"/>
        <v>44006</v>
      </c>
      <c r="D181" s="228">
        <f ca="1">JAD</f>
        <v>0</v>
      </c>
      <c r="E181" s="228">
        <f ca="1">JAL</f>
        <v>0</v>
      </c>
      <c r="F181" s="234"/>
      <c r="G181" s="234"/>
      <c r="H181" s="228">
        <f ca="1">BD</f>
        <v>0</v>
      </c>
      <c r="I181" s="228">
        <f ca="1">BL</f>
        <v>0</v>
      </c>
      <c r="J181" s="228">
        <f ca="1">BSD</f>
        <v>0</v>
      </c>
      <c r="K181" s="228">
        <f ca="1">BSL</f>
        <v>0</v>
      </c>
      <c r="L181" s="234"/>
      <c r="M181" s="234"/>
      <c r="N181" s="234"/>
      <c r="O181" s="234"/>
      <c r="P181" s="234">
        <v>0</v>
      </c>
      <c r="Q181" s="235" t="s">
        <v>218</v>
      </c>
    </row>
    <row r="182" spans="2:17" ht="20.100000000000001" customHeight="1">
      <c r="B182" s="230">
        <f t="shared" si="3"/>
        <v>177</v>
      </c>
      <c r="C182" s="204">
        <f t="shared" si="3"/>
        <v>44007</v>
      </c>
      <c r="D182" s="228">
        <f ca="1">JAD</f>
        <v>0</v>
      </c>
      <c r="E182" s="228">
        <f ca="1">JAL</f>
        <v>0</v>
      </c>
      <c r="F182" s="234"/>
      <c r="G182" s="234"/>
      <c r="H182" s="228">
        <f ca="1">BD</f>
        <v>0</v>
      </c>
      <c r="I182" s="228">
        <f ca="1">BL</f>
        <v>0</v>
      </c>
      <c r="J182" s="228">
        <f ca="1">BSD</f>
        <v>0</v>
      </c>
      <c r="K182" s="228">
        <f ca="1">BSL</f>
        <v>0</v>
      </c>
      <c r="L182" s="234"/>
      <c r="M182" s="234"/>
      <c r="N182" s="234"/>
      <c r="O182" s="234"/>
      <c r="P182" s="234">
        <v>0</v>
      </c>
      <c r="Q182" s="235" t="s">
        <v>218</v>
      </c>
    </row>
    <row r="183" spans="2:17" ht="20.100000000000001" customHeight="1">
      <c r="B183" s="230">
        <f t="shared" si="3"/>
        <v>178</v>
      </c>
      <c r="C183" s="204">
        <f t="shared" si="3"/>
        <v>44008</v>
      </c>
      <c r="D183" s="228">
        <f ca="1">JAD</f>
        <v>0</v>
      </c>
      <c r="E183" s="228">
        <f ca="1">JAL</f>
        <v>0</v>
      </c>
      <c r="F183" s="234"/>
      <c r="G183" s="234"/>
      <c r="H183" s="228">
        <f ca="1">BD</f>
        <v>0</v>
      </c>
      <c r="I183" s="228">
        <f ca="1">BL</f>
        <v>0</v>
      </c>
      <c r="J183" s="228">
        <f ca="1">BSD</f>
        <v>0</v>
      </c>
      <c r="K183" s="228">
        <f ca="1">BSL</f>
        <v>0</v>
      </c>
      <c r="L183" s="234"/>
      <c r="M183" s="234"/>
      <c r="N183" s="234"/>
      <c r="O183" s="234"/>
      <c r="P183" s="234">
        <v>0</v>
      </c>
      <c r="Q183" s="235" t="s">
        <v>218</v>
      </c>
    </row>
    <row r="184" spans="2:17" ht="20.100000000000001" customHeight="1">
      <c r="B184" s="230">
        <f t="shared" si="3"/>
        <v>179</v>
      </c>
      <c r="C184" s="204">
        <f t="shared" si="3"/>
        <v>44009</v>
      </c>
      <c r="D184" s="228">
        <f ca="1">JAD</f>
        <v>0</v>
      </c>
      <c r="E184" s="228">
        <f ca="1">JAL</f>
        <v>0</v>
      </c>
      <c r="F184" s="234"/>
      <c r="G184" s="234"/>
      <c r="H184" s="228">
        <f ca="1">BD</f>
        <v>0</v>
      </c>
      <c r="I184" s="228">
        <f ca="1">BL</f>
        <v>0</v>
      </c>
      <c r="J184" s="228">
        <f ca="1">BSD</f>
        <v>0</v>
      </c>
      <c r="K184" s="228">
        <f ca="1">BSL</f>
        <v>0</v>
      </c>
      <c r="L184" s="234"/>
      <c r="M184" s="234"/>
      <c r="N184" s="234"/>
      <c r="O184" s="234"/>
      <c r="P184" s="234">
        <v>0</v>
      </c>
      <c r="Q184" s="235" t="s">
        <v>218</v>
      </c>
    </row>
    <row r="185" spans="2:17" ht="20.100000000000001" customHeight="1">
      <c r="B185" s="230">
        <f t="shared" si="3"/>
        <v>180</v>
      </c>
      <c r="C185" s="204">
        <f t="shared" si="3"/>
        <v>44010</v>
      </c>
      <c r="D185" s="228">
        <f ca="1">JAD</f>
        <v>0</v>
      </c>
      <c r="E185" s="228">
        <f ca="1">JAL</f>
        <v>0</v>
      </c>
      <c r="F185" s="234"/>
      <c r="G185" s="234"/>
      <c r="H185" s="228">
        <f ca="1">BD</f>
        <v>0</v>
      </c>
      <c r="I185" s="228">
        <f ca="1">BL</f>
        <v>0</v>
      </c>
      <c r="J185" s="228">
        <f ca="1">BSD</f>
        <v>0</v>
      </c>
      <c r="K185" s="228">
        <f ca="1">BSL</f>
        <v>0</v>
      </c>
      <c r="L185" s="234"/>
      <c r="M185" s="234"/>
      <c r="N185" s="234"/>
      <c r="O185" s="234"/>
      <c r="P185" s="234">
        <v>0</v>
      </c>
      <c r="Q185" s="235" t="s">
        <v>218</v>
      </c>
    </row>
    <row r="186" spans="2:17" ht="20.100000000000001" customHeight="1">
      <c r="B186" s="230">
        <f t="shared" si="3"/>
        <v>181</v>
      </c>
      <c r="C186" s="204">
        <f t="shared" si="3"/>
        <v>44011</v>
      </c>
      <c r="D186" s="228">
        <f ca="1">JAD</f>
        <v>0</v>
      </c>
      <c r="E186" s="228">
        <f ca="1">JAL</f>
        <v>0</v>
      </c>
      <c r="F186" s="234"/>
      <c r="G186" s="234"/>
      <c r="H186" s="228">
        <f ca="1">BD</f>
        <v>0</v>
      </c>
      <c r="I186" s="228">
        <f ca="1">BL</f>
        <v>0</v>
      </c>
      <c r="J186" s="228">
        <f ca="1">BSD</f>
        <v>0</v>
      </c>
      <c r="K186" s="228">
        <f ca="1">BSL</f>
        <v>0</v>
      </c>
      <c r="L186" s="234"/>
      <c r="M186" s="234"/>
      <c r="N186" s="234"/>
      <c r="O186" s="234"/>
      <c r="P186" s="234">
        <v>0</v>
      </c>
      <c r="Q186" s="235" t="s">
        <v>218</v>
      </c>
    </row>
    <row r="187" spans="2:17" ht="20.100000000000001" customHeight="1">
      <c r="B187" s="230">
        <f t="shared" si="3"/>
        <v>182</v>
      </c>
      <c r="C187" s="204">
        <f t="shared" si="3"/>
        <v>44012</v>
      </c>
      <c r="D187" s="228">
        <f ca="1">JAD</f>
        <v>0</v>
      </c>
      <c r="E187" s="228">
        <f ca="1">JAL</f>
        <v>0</v>
      </c>
      <c r="F187" s="234"/>
      <c r="G187" s="234"/>
      <c r="H187" s="228">
        <f ca="1">BD</f>
        <v>0</v>
      </c>
      <c r="I187" s="228">
        <f ca="1">BL</f>
        <v>0</v>
      </c>
      <c r="J187" s="228">
        <f ca="1">BSD</f>
        <v>0</v>
      </c>
      <c r="K187" s="228">
        <f ca="1">BSL</f>
        <v>0</v>
      </c>
      <c r="L187" s="234"/>
      <c r="M187" s="234"/>
      <c r="N187" s="234"/>
      <c r="O187" s="234"/>
      <c r="P187" s="234">
        <v>0</v>
      </c>
      <c r="Q187" s="235" t="s">
        <v>218</v>
      </c>
    </row>
    <row r="188" spans="2:17" ht="20.100000000000001" customHeight="1">
      <c r="B188" s="230">
        <f t="shared" si="3"/>
        <v>183</v>
      </c>
      <c r="C188" s="204">
        <f t="shared" si="3"/>
        <v>44013</v>
      </c>
      <c r="D188" s="228">
        <f ca="1">JAD</f>
        <v>0</v>
      </c>
      <c r="E188" s="228">
        <f ca="1">JAL</f>
        <v>0</v>
      </c>
      <c r="F188" s="234"/>
      <c r="G188" s="234"/>
      <c r="H188" s="228">
        <f ca="1">BD</f>
        <v>0</v>
      </c>
      <c r="I188" s="228">
        <f ca="1">BL</f>
        <v>0</v>
      </c>
      <c r="J188" s="228">
        <f ca="1">BSD</f>
        <v>0</v>
      </c>
      <c r="K188" s="228">
        <f ca="1">BSL</f>
        <v>0</v>
      </c>
      <c r="L188" s="234"/>
      <c r="M188" s="234"/>
      <c r="N188" s="234"/>
      <c r="O188" s="234"/>
      <c r="P188" s="234">
        <v>0</v>
      </c>
      <c r="Q188" s="235" t="s">
        <v>218</v>
      </c>
    </row>
    <row r="189" spans="2:17" ht="20.100000000000001" customHeight="1">
      <c r="B189" s="230">
        <f t="shared" si="3"/>
        <v>184</v>
      </c>
      <c r="C189" s="204">
        <f t="shared" si="3"/>
        <v>44014</v>
      </c>
      <c r="D189" s="228">
        <f ca="1">JAD</f>
        <v>0</v>
      </c>
      <c r="E189" s="228">
        <f ca="1">JAL</f>
        <v>0</v>
      </c>
      <c r="F189" s="234"/>
      <c r="G189" s="234"/>
      <c r="H189" s="228">
        <f ca="1">BD</f>
        <v>0</v>
      </c>
      <c r="I189" s="228">
        <f ca="1">BL</f>
        <v>0</v>
      </c>
      <c r="J189" s="228">
        <f ca="1">BSD</f>
        <v>0</v>
      </c>
      <c r="K189" s="228">
        <f ca="1">BSL</f>
        <v>0</v>
      </c>
      <c r="L189" s="234"/>
      <c r="M189" s="234"/>
      <c r="N189" s="234"/>
      <c r="O189" s="234"/>
      <c r="P189" s="234">
        <v>0</v>
      </c>
      <c r="Q189" s="235" t="s">
        <v>218</v>
      </c>
    </row>
    <row r="190" spans="2:17" ht="20.100000000000001" customHeight="1">
      <c r="B190" s="230">
        <f t="shared" si="3"/>
        <v>185</v>
      </c>
      <c r="C190" s="204">
        <f t="shared" si="3"/>
        <v>44015</v>
      </c>
      <c r="D190" s="228">
        <f ca="1">JAD</f>
        <v>0</v>
      </c>
      <c r="E190" s="228">
        <f ca="1">JAL</f>
        <v>0</v>
      </c>
      <c r="F190" s="234"/>
      <c r="G190" s="234"/>
      <c r="H190" s="228">
        <f ca="1">BD</f>
        <v>0</v>
      </c>
      <c r="I190" s="228">
        <f ca="1">BL</f>
        <v>0</v>
      </c>
      <c r="J190" s="228">
        <f ca="1">BSD</f>
        <v>0</v>
      </c>
      <c r="K190" s="228">
        <f ca="1">BSL</f>
        <v>0</v>
      </c>
      <c r="L190" s="234"/>
      <c r="M190" s="234"/>
      <c r="N190" s="234"/>
      <c r="O190" s="234"/>
      <c r="P190" s="234">
        <v>0</v>
      </c>
      <c r="Q190" s="235" t="s">
        <v>218</v>
      </c>
    </row>
    <row r="191" spans="2:17" ht="20.100000000000001" customHeight="1">
      <c r="B191" s="230">
        <f t="shared" si="3"/>
        <v>186</v>
      </c>
      <c r="C191" s="204">
        <f t="shared" si="3"/>
        <v>44016</v>
      </c>
      <c r="D191" s="228">
        <f ca="1">JAD</f>
        <v>0</v>
      </c>
      <c r="E191" s="228">
        <f ca="1">JAL</f>
        <v>0</v>
      </c>
      <c r="F191" s="234"/>
      <c r="G191" s="234"/>
      <c r="H191" s="228">
        <f ca="1">BD</f>
        <v>0</v>
      </c>
      <c r="I191" s="228">
        <f ca="1">BL</f>
        <v>0</v>
      </c>
      <c r="J191" s="228">
        <f ca="1">BSD</f>
        <v>0</v>
      </c>
      <c r="K191" s="228">
        <f ca="1">BSL</f>
        <v>0</v>
      </c>
      <c r="L191" s="234"/>
      <c r="M191" s="234"/>
      <c r="N191" s="234"/>
      <c r="O191" s="234"/>
      <c r="P191" s="234">
        <v>0</v>
      </c>
      <c r="Q191" s="235" t="s">
        <v>218</v>
      </c>
    </row>
    <row r="192" spans="2:17" ht="20.100000000000001" customHeight="1">
      <c r="B192" s="230">
        <f t="shared" si="3"/>
        <v>187</v>
      </c>
      <c r="C192" s="204">
        <f t="shared" si="3"/>
        <v>44017</v>
      </c>
      <c r="D192" s="228">
        <f ca="1">JAD</f>
        <v>0</v>
      </c>
      <c r="E192" s="228">
        <f ca="1">JAL</f>
        <v>0</v>
      </c>
      <c r="F192" s="234"/>
      <c r="G192" s="234"/>
      <c r="H192" s="228">
        <f ca="1">BD</f>
        <v>0</v>
      </c>
      <c r="I192" s="228">
        <f ca="1">BL</f>
        <v>0</v>
      </c>
      <c r="J192" s="228">
        <f ca="1">BSD</f>
        <v>0</v>
      </c>
      <c r="K192" s="228">
        <f ca="1">BSL</f>
        <v>0</v>
      </c>
      <c r="L192" s="234"/>
      <c r="M192" s="234"/>
      <c r="N192" s="234"/>
      <c r="O192" s="234"/>
      <c r="P192" s="234">
        <v>0</v>
      </c>
      <c r="Q192" s="235" t="s">
        <v>218</v>
      </c>
    </row>
    <row r="193" spans="2:17" ht="20.100000000000001" customHeight="1">
      <c r="B193" s="230">
        <f t="shared" si="3"/>
        <v>188</v>
      </c>
      <c r="C193" s="204">
        <f t="shared" si="3"/>
        <v>44018</v>
      </c>
      <c r="D193" s="228">
        <f ca="1">JAD</f>
        <v>0</v>
      </c>
      <c r="E193" s="228">
        <f ca="1">JAL</f>
        <v>0</v>
      </c>
      <c r="F193" s="234"/>
      <c r="G193" s="234"/>
      <c r="H193" s="228">
        <f ca="1">BD</f>
        <v>0</v>
      </c>
      <c r="I193" s="228">
        <f ca="1">BL</f>
        <v>0</v>
      </c>
      <c r="J193" s="228">
        <f ca="1">BSD</f>
        <v>0</v>
      </c>
      <c r="K193" s="228">
        <f ca="1">BSL</f>
        <v>0</v>
      </c>
      <c r="L193" s="234"/>
      <c r="M193" s="234"/>
      <c r="N193" s="234"/>
      <c r="O193" s="234"/>
      <c r="P193" s="234">
        <v>0</v>
      </c>
      <c r="Q193" s="235" t="s">
        <v>218</v>
      </c>
    </row>
    <row r="194" spans="2:17" ht="20.100000000000001" customHeight="1">
      <c r="B194" s="230">
        <f t="shared" si="3"/>
        <v>189</v>
      </c>
      <c r="C194" s="204">
        <f t="shared" si="3"/>
        <v>44019</v>
      </c>
      <c r="D194" s="228">
        <f ca="1">JAD</f>
        <v>0</v>
      </c>
      <c r="E194" s="228">
        <f ca="1">JAL</f>
        <v>0</v>
      </c>
      <c r="F194" s="234"/>
      <c r="G194" s="234"/>
      <c r="H194" s="228">
        <f ca="1">BD</f>
        <v>0</v>
      </c>
      <c r="I194" s="228">
        <f ca="1">BL</f>
        <v>0</v>
      </c>
      <c r="J194" s="228">
        <f ca="1">BSD</f>
        <v>0</v>
      </c>
      <c r="K194" s="228">
        <f ca="1">BSL</f>
        <v>0</v>
      </c>
      <c r="L194" s="234"/>
      <c r="M194" s="234"/>
      <c r="N194" s="234"/>
      <c r="O194" s="234"/>
      <c r="P194" s="234">
        <v>0</v>
      </c>
      <c r="Q194" s="235" t="s">
        <v>218</v>
      </c>
    </row>
    <row r="195" spans="2:17" ht="20.100000000000001" customHeight="1">
      <c r="B195" s="230">
        <f t="shared" si="3"/>
        <v>190</v>
      </c>
      <c r="C195" s="204">
        <f t="shared" si="3"/>
        <v>44020</v>
      </c>
      <c r="D195" s="228">
        <f ca="1">JAD</f>
        <v>0</v>
      </c>
      <c r="E195" s="228">
        <f ca="1">JAL</f>
        <v>0</v>
      </c>
      <c r="F195" s="234"/>
      <c r="G195" s="234"/>
      <c r="H195" s="228">
        <f ca="1">BD</f>
        <v>0</v>
      </c>
      <c r="I195" s="228">
        <f ca="1">BL</f>
        <v>0</v>
      </c>
      <c r="J195" s="228">
        <f ca="1">BSD</f>
        <v>0</v>
      </c>
      <c r="K195" s="228">
        <f ca="1">BSL</f>
        <v>0</v>
      </c>
      <c r="L195" s="234"/>
      <c r="M195" s="234"/>
      <c r="N195" s="234"/>
      <c r="O195" s="234"/>
      <c r="P195" s="234">
        <v>0</v>
      </c>
      <c r="Q195" s="235" t="s">
        <v>218</v>
      </c>
    </row>
    <row r="196" spans="2:17" ht="20.100000000000001" customHeight="1">
      <c r="B196" s="230">
        <f t="shared" si="3"/>
        <v>191</v>
      </c>
      <c r="C196" s="204">
        <f t="shared" si="3"/>
        <v>44021</v>
      </c>
      <c r="D196" s="228">
        <f ca="1">JAD</f>
        <v>0</v>
      </c>
      <c r="E196" s="228">
        <f ca="1">JAL</f>
        <v>0</v>
      </c>
      <c r="F196" s="234"/>
      <c r="G196" s="234"/>
      <c r="H196" s="228">
        <f ca="1">BD</f>
        <v>0</v>
      </c>
      <c r="I196" s="228">
        <f ca="1">BL</f>
        <v>0</v>
      </c>
      <c r="J196" s="228">
        <f ca="1">BSD</f>
        <v>0</v>
      </c>
      <c r="K196" s="228">
        <f ca="1">BSL</f>
        <v>0</v>
      </c>
      <c r="L196" s="234"/>
      <c r="M196" s="234"/>
      <c r="N196" s="234"/>
      <c r="O196" s="234"/>
      <c r="P196" s="234">
        <v>0</v>
      </c>
      <c r="Q196" s="235" t="s">
        <v>218</v>
      </c>
    </row>
    <row r="197" spans="2:17" ht="20.100000000000001" customHeight="1">
      <c r="B197" s="230">
        <f t="shared" si="3"/>
        <v>192</v>
      </c>
      <c r="C197" s="204">
        <f t="shared" si="3"/>
        <v>44022</v>
      </c>
      <c r="D197" s="228">
        <f ca="1">JAD</f>
        <v>0</v>
      </c>
      <c r="E197" s="228">
        <f ca="1">JAL</f>
        <v>0</v>
      </c>
      <c r="F197" s="234"/>
      <c r="G197" s="234"/>
      <c r="H197" s="228">
        <f ca="1">BD</f>
        <v>0</v>
      </c>
      <c r="I197" s="228">
        <f ca="1">BL</f>
        <v>0</v>
      </c>
      <c r="J197" s="228">
        <f ca="1">BSD</f>
        <v>0</v>
      </c>
      <c r="K197" s="228">
        <f ca="1">BSL</f>
        <v>0</v>
      </c>
      <c r="L197" s="234"/>
      <c r="M197" s="234"/>
      <c r="N197" s="234"/>
      <c r="O197" s="234"/>
      <c r="P197" s="234">
        <v>0</v>
      </c>
      <c r="Q197" s="235" t="s">
        <v>218</v>
      </c>
    </row>
    <row r="198" spans="2:17" ht="20.100000000000001" customHeight="1">
      <c r="B198" s="230">
        <f t="shared" si="3"/>
        <v>193</v>
      </c>
      <c r="C198" s="204">
        <f t="shared" si="3"/>
        <v>44023</v>
      </c>
      <c r="D198" s="228">
        <f ca="1">JAD</f>
        <v>0</v>
      </c>
      <c r="E198" s="228">
        <f ca="1">JAL</f>
        <v>0</v>
      </c>
      <c r="F198" s="234"/>
      <c r="G198" s="234"/>
      <c r="H198" s="228">
        <f ca="1">BD</f>
        <v>0</v>
      </c>
      <c r="I198" s="228">
        <f ca="1">BL</f>
        <v>0</v>
      </c>
      <c r="J198" s="228">
        <f ca="1">BSD</f>
        <v>0</v>
      </c>
      <c r="K198" s="228">
        <f ca="1">BSL</f>
        <v>0</v>
      </c>
      <c r="L198" s="234"/>
      <c r="M198" s="234"/>
      <c r="N198" s="234"/>
      <c r="O198" s="234"/>
      <c r="P198" s="234">
        <v>0</v>
      </c>
      <c r="Q198" s="235" t="s">
        <v>218</v>
      </c>
    </row>
    <row r="199" spans="2:17" ht="20.100000000000001" customHeight="1">
      <c r="B199" s="230">
        <f t="shared" si="3"/>
        <v>194</v>
      </c>
      <c r="C199" s="204">
        <f t="shared" si="3"/>
        <v>44024</v>
      </c>
      <c r="D199" s="228">
        <f ca="1">JAD</f>
        <v>0</v>
      </c>
      <c r="E199" s="228">
        <f ca="1">JAL</f>
        <v>0</v>
      </c>
      <c r="F199" s="234"/>
      <c r="G199" s="234"/>
      <c r="H199" s="228">
        <f ca="1">BD</f>
        <v>0</v>
      </c>
      <c r="I199" s="228">
        <f ca="1">BL</f>
        <v>0</v>
      </c>
      <c r="J199" s="228">
        <f ca="1">BSD</f>
        <v>0</v>
      </c>
      <c r="K199" s="228">
        <f ca="1">BSL</f>
        <v>0</v>
      </c>
      <c r="L199" s="234"/>
      <c r="M199" s="234"/>
      <c r="N199" s="234"/>
      <c r="O199" s="234"/>
      <c r="P199" s="234">
        <v>0</v>
      </c>
      <c r="Q199" s="235" t="s">
        <v>218</v>
      </c>
    </row>
    <row r="200" spans="2:17" ht="20.100000000000001" customHeight="1">
      <c r="B200" s="230">
        <f t="shared" si="3"/>
        <v>195</v>
      </c>
      <c r="C200" s="204">
        <f t="shared" si="3"/>
        <v>44025</v>
      </c>
      <c r="D200" s="228">
        <f ca="1">JAD</f>
        <v>0</v>
      </c>
      <c r="E200" s="228">
        <f ca="1">JAL</f>
        <v>0</v>
      </c>
      <c r="F200" s="234"/>
      <c r="G200" s="234"/>
      <c r="H200" s="228">
        <f ca="1">BD</f>
        <v>0</v>
      </c>
      <c r="I200" s="228">
        <f ca="1">BL</f>
        <v>0</v>
      </c>
      <c r="J200" s="228">
        <f ca="1">BSD</f>
        <v>0</v>
      </c>
      <c r="K200" s="228">
        <f ca="1">BSL</f>
        <v>0</v>
      </c>
      <c r="L200" s="234"/>
      <c r="M200" s="234"/>
      <c r="N200" s="234"/>
      <c r="O200" s="234"/>
      <c r="P200" s="234">
        <v>0</v>
      </c>
      <c r="Q200" s="235" t="s">
        <v>218</v>
      </c>
    </row>
    <row r="201" spans="2:17" ht="20.100000000000001" customHeight="1">
      <c r="B201" s="230">
        <f t="shared" ref="B201:C264" si="4">+B200+1</f>
        <v>196</v>
      </c>
      <c r="C201" s="204">
        <f t="shared" si="4"/>
        <v>44026</v>
      </c>
      <c r="D201" s="228">
        <f ca="1">JAD</f>
        <v>0</v>
      </c>
      <c r="E201" s="228">
        <f ca="1">JAL</f>
        <v>0</v>
      </c>
      <c r="F201" s="234"/>
      <c r="G201" s="234"/>
      <c r="H201" s="228">
        <f ca="1">BD</f>
        <v>0</v>
      </c>
      <c r="I201" s="228">
        <f ca="1">BL</f>
        <v>0</v>
      </c>
      <c r="J201" s="228">
        <f ca="1">BSD</f>
        <v>0</v>
      </c>
      <c r="K201" s="228">
        <f ca="1">BSL</f>
        <v>0</v>
      </c>
      <c r="L201" s="234"/>
      <c r="M201" s="234"/>
      <c r="N201" s="234"/>
      <c r="O201" s="234"/>
      <c r="P201" s="234">
        <v>0</v>
      </c>
      <c r="Q201" s="235" t="s">
        <v>218</v>
      </c>
    </row>
    <row r="202" spans="2:17" ht="20.100000000000001" customHeight="1">
      <c r="B202" s="230">
        <f t="shared" si="4"/>
        <v>197</v>
      </c>
      <c r="C202" s="204">
        <f t="shared" si="4"/>
        <v>44027</v>
      </c>
      <c r="D202" s="228">
        <f ca="1">JAD</f>
        <v>0</v>
      </c>
      <c r="E202" s="228">
        <f ca="1">JAL</f>
        <v>0</v>
      </c>
      <c r="F202" s="234"/>
      <c r="G202" s="234"/>
      <c r="H202" s="228">
        <f ca="1">BD</f>
        <v>0</v>
      </c>
      <c r="I202" s="228">
        <f ca="1">BL</f>
        <v>0</v>
      </c>
      <c r="J202" s="228">
        <f ca="1">BSD</f>
        <v>0</v>
      </c>
      <c r="K202" s="228">
        <f ca="1">BSL</f>
        <v>0</v>
      </c>
      <c r="L202" s="234"/>
      <c r="M202" s="234"/>
      <c r="N202" s="234"/>
      <c r="O202" s="234"/>
      <c r="P202" s="234">
        <v>0</v>
      </c>
      <c r="Q202" s="235" t="s">
        <v>218</v>
      </c>
    </row>
    <row r="203" spans="2:17" ht="20.100000000000001" customHeight="1">
      <c r="B203" s="230">
        <f t="shared" si="4"/>
        <v>198</v>
      </c>
      <c r="C203" s="204">
        <f t="shared" si="4"/>
        <v>44028</v>
      </c>
      <c r="D203" s="228">
        <f ca="1">JAD</f>
        <v>0</v>
      </c>
      <c r="E203" s="228">
        <f ca="1">JAL</f>
        <v>0</v>
      </c>
      <c r="F203" s="234"/>
      <c r="G203" s="234"/>
      <c r="H203" s="228">
        <f ca="1">BD</f>
        <v>0</v>
      </c>
      <c r="I203" s="228">
        <f ca="1">BL</f>
        <v>0</v>
      </c>
      <c r="J203" s="228">
        <f ca="1">BSD</f>
        <v>0</v>
      </c>
      <c r="K203" s="228">
        <f ca="1">BSL</f>
        <v>0</v>
      </c>
      <c r="L203" s="234"/>
      <c r="M203" s="234"/>
      <c r="N203" s="234"/>
      <c r="O203" s="234"/>
      <c r="P203" s="234">
        <v>0</v>
      </c>
      <c r="Q203" s="235" t="s">
        <v>218</v>
      </c>
    </row>
    <row r="204" spans="2:17" ht="20.100000000000001" customHeight="1">
      <c r="B204" s="230">
        <f t="shared" si="4"/>
        <v>199</v>
      </c>
      <c r="C204" s="204">
        <f t="shared" si="4"/>
        <v>44029</v>
      </c>
      <c r="D204" s="228">
        <f ca="1">JAD</f>
        <v>0</v>
      </c>
      <c r="E204" s="228">
        <f ca="1">JAL</f>
        <v>0</v>
      </c>
      <c r="F204" s="234"/>
      <c r="G204" s="234"/>
      <c r="H204" s="228">
        <f ca="1">BD</f>
        <v>0</v>
      </c>
      <c r="I204" s="228">
        <f ca="1">BL</f>
        <v>0</v>
      </c>
      <c r="J204" s="228">
        <f ca="1">BSD</f>
        <v>0</v>
      </c>
      <c r="K204" s="228">
        <f ca="1">BSL</f>
        <v>0</v>
      </c>
      <c r="L204" s="234"/>
      <c r="M204" s="234"/>
      <c r="N204" s="234"/>
      <c r="O204" s="234"/>
      <c r="P204" s="234">
        <v>0</v>
      </c>
      <c r="Q204" s="235" t="s">
        <v>218</v>
      </c>
    </row>
    <row r="205" spans="2:17" ht="20.100000000000001" customHeight="1">
      <c r="B205" s="230">
        <f t="shared" si="4"/>
        <v>200</v>
      </c>
      <c r="C205" s="204">
        <f t="shared" si="4"/>
        <v>44030</v>
      </c>
      <c r="D205" s="228">
        <f ca="1">JAD</f>
        <v>0</v>
      </c>
      <c r="E205" s="228">
        <f ca="1">JAL</f>
        <v>0</v>
      </c>
      <c r="F205" s="234"/>
      <c r="G205" s="234"/>
      <c r="H205" s="228">
        <f ca="1">BD</f>
        <v>0</v>
      </c>
      <c r="I205" s="228">
        <f ca="1">BL</f>
        <v>0</v>
      </c>
      <c r="J205" s="228">
        <f ca="1">BSD</f>
        <v>0</v>
      </c>
      <c r="K205" s="228">
        <f ca="1">BSL</f>
        <v>0</v>
      </c>
      <c r="L205" s="234"/>
      <c r="M205" s="234"/>
      <c r="N205" s="234"/>
      <c r="O205" s="234"/>
      <c r="P205" s="234">
        <v>0</v>
      </c>
      <c r="Q205" s="235" t="s">
        <v>218</v>
      </c>
    </row>
    <row r="206" spans="2:17" ht="20.100000000000001" customHeight="1">
      <c r="B206" s="230">
        <f t="shared" si="4"/>
        <v>201</v>
      </c>
      <c r="C206" s="204">
        <f t="shared" si="4"/>
        <v>44031</v>
      </c>
      <c r="D206" s="228">
        <f ca="1">JAD</f>
        <v>0</v>
      </c>
      <c r="E206" s="228">
        <f ca="1">JAL</f>
        <v>0</v>
      </c>
      <c r="F206" s="234"/>
      <c r="G206" s="234"/>
      <c r="H206" s="228">
        <f ca="1">BD</f>
        <v>0</v>
      </c>
      <c r="I206" s="228">
        <f ca="1">BL</f>
        <v>0</v>
      </c>
      <c r="J206" s="228">
        <f ca="1">BSD</f>
        <v>0</v>
      </c>
      <c r="K206" s="228">
        <f ca="1">BSL</f>
        <v>0</v>
      </c>
      <c r="L206" s="234"/>
      <c r="M206" s="234"/>
      <c r="N206" s="234"/>
      <c r="O206" s="234"/>
      <c r="P206" s="234">
        <v>0</v>
      </c>
      <c r="Q206" s="235" t="s">
        <v>218</v>
      </c>
    </row>
    <row r="207" spans="2:17" ht="20.100000000000001" customHeight="1">
      <c r="B207" s="230">
        <f t="shared" si="4"/>
        <v>202</v>
      </c>
      <c r="C207" s="204">
        <f t="shared" si="4"/>
        <v>44032</v>
      </c>
      <c r="D207" s="228">
        <f ca="1">JAD</f>
        <v>0</v>
      </c>
      <c r="E207" s="228">
        <f ca="1">JAL</f>
        <v>0</v>
      </c>
      <c r="F207" s="234"/>
      <c r="G207" s="234"/>
      <c r="H207" s="228">
        <f ca="1">BD</f>
        <v>0</v>
      </c>
      <c r="I207" s="228">
        <f ca="1">BL</f>
        <v>0</v>
      </c>
      <c r="J207" s="228">
        <f ca="1">BSD</f>
        <v>0</v>
      </c>
      <c r="K207" s="228">
        <f ca="1">BSL</f>
        <v>0</v>
      </c>
      <c r="L207" s="234"/>
      <c r="M207" s="234"/>
      <c r="N207" s="234"/>
      <c r="O207" s="234"/>
      <c r="P207" s="234">
        <v>0</v>
      </c>
      <c r="Q207" s="235" t="s">
        <v>218</v>
      </c>
    </row>
    <row r="208" spans="2:17" ht="20.100000000000001" customHeight="1">
      <c r="B208" s="230">
        <f t="shared" si="4"/>
        <v>203</v>
      </c>
      <c r="C208" s="204">
        <f t="shared" si="4"/>
        <v>44033</v>
      </c>
      <c r="D208" s="228">
        <f ca="1">JAD</f>
        <v>0</v>
      </c>
      <c r="E208" s="228">
        <f ca="1">JAL</f>
        <v>0</v>
      </c>
      <c r="F208" s="234"/>
      <c r="G208" s="234"/>
      <c r="H208" s="228">
        <f ca="1">BD</f>
        <v>0</v>
      </c>
      <c r="I208" s="228">
        <f ca="1">BL</f>
        <v>0</v>
      </c>
      <c r="J208" s="228">
        <f ca="1">BSD</f>
        <v>0</v>
      </c>
      <c r="K208" s="228">
        <f ca="1">BSL</f>
        <v>0</v>
      </c>
      <c r="L208" s="234"/>
      <c r="M208" s="234"/>
      <c r="N208" s="234"/>
      <c r="O208" s="234"/>
      <c r="P208" s="234">
        <v>0</v>
      </c>
      <c r="Q208" s="235" t="s">
        <v>218</v>
      </c>
    </row>
    <row r="209" spans="2:17" ht="20.100000000000001" customHeight="1">
      <c r="B209" s="230">
        <f t="shared" si="4"/>
        <v>204</v>
      </c>
      <c r="C209" s="204">
        <f t="shared" si="4"/>
        <v>44034</v>
      </c>
      <c r="D209" s="228">
        <f ca="1">JAD</f>
        <v>0</v>
      </c>
      <c r="E209" s="228">
        <f ca="1">JAL</f>
        <v>0</v>
      </c>
      <c r="F209" s="234"/>
      <c r="G209" s="234"/>
      <c r="H209" s="228">
        <f ca="1">BD</f>
        <v>0</v>
      </c>
      <c r="I209" s="228">
        <f ca="1">BL</f>
        <v>0</v>
      </c>
      <c r="J209" s="228">
        <f ca="1">BSD</f>
        <v>0</v>
      </c>
      <c r="K209" s="228">
        <f ca="1">BSL</f>
        <v>0</v>
      </c>
      <c r="L209" s="234"/>
      <c r="M209" s="234"/>
      <c r="N209" s="234"/>
      <c r="O209" s="234"/>
      <c r="P209" s="234">
        <v>0</v>
      </c>
      <c r="Q209" s="235" t="s">
        <v>218</v>
      </c>
    </row>
    <row r="210" spans="2:17" ht="20.100000000000001" customHeight="1">
      <c r="B210" s="230">
        <f t="shared" si="4"/>
        <v>205</v>
      </c>
      <c r="C210" s="204">
        <f t="shared" si="4"/>
        <v>44035</v>
      </c>
      <c r="D210" s="228">
        <f ca="1">JAD</f>
        <v>0</v>
      </c>
      <c r="E210" s="228">
        <f ca="1">JAL</f>
        <v>0</v>
      </c>
      <c r="F210" s="234"/>
      <c r="G210" s="234"/>
      <c r="H210" s="228">
        <f ca="1">BD</f>
        <v>0</v>
      </c>
      <c r="I210" s="228">
        <f ca="1">BL</f>
        <v>0</v>
      </c>
      <c r="J210" s="228">
        <f ca="1">BSD</f>
        <v>0</v>
      </c>
      <c r="K210" s="228">
        <f ca="1">BSL</f>
        <v>0</v>
      </c>
      <c r="L210" s="234"/>
      <c r="M210" s="234"/>
      <c r="N210" s="234"/>
      <c r="O210" s="234"/>
      <c r="P210" s="234">
        <v>0</v>
      </c>
      <c r="Q210" s="235" t="s">
        <v>218</v>
      </c>
    </row>
    <row r="211" spans="2:17" ht="20.100000000000001" customHeight="1">
      <c r="B211" s="230">
        <f t="shared" si="4"/>
        <v>206</v>
      </c>
      <c r="C211" s="204">
        <f t="shared" si="4"/>
        <v>44036</v>
      </c>
      <c r="D211" s="228">
        <f ca="1">JAD</f>
        <v>0</v>
      </c>
      <c r="E211" s="228">
        <f ca="1">JAL</f>
        <v>0</v>
      </c>
      <c r="F211" s="234"/>
      <c r="G211" s="234"/>
      <c r="H211" s="228">
        <f ca="1">BD</f>
        <v>0</v>
      </c>
      <c r="I211" s="228">
        <f ca="1">BL</f>
        <v>0</v>
      </c>
      <c r="J211" s="228">
        <f ca="1">BSD</f>
        <v>0</v>
      </c>
      <c r="K211" s="228">
        <f ca="1">BSL</f>
        <v>0</v>
      </c>
      <c r="L211" s="234"/>
      <c r="M211" s="234"/>
      <c r="N211" s="234"/>
      <c r="O211" s="234"/>
      <c r="P211" s="234">
        <v>0</v>
      </c>
      <c r="Q211" s="235" t="s">
        <v>218</v>
      </c>
    </row>
    <row r="212" spans="2:17" ht="20.100000000000001" customHeight="1">
      <c r="B212" s="230">
        <f t="shared" si="4"/>
        <v>207</v>
      </c>
      <c r="C212" s="204">
        <f t="shared" si="4"/>
        <v>44037</v>
      </c>
      <c r="D212" s="228">
        <f ca="1">JAD</f>
        <v>0</v>
      </c>
      <c r="E212" s="228">
        <f ca="1">JAL</f>
        <v>0</v>
      </c>
      <c r="F212" s="234"/>
      <c r="G212" s="234"/>
      <c r="H212" s="228">
        <f ca="1">BD</f>
        <v>0</v>
      </c>
      <c r="I212" s="228">
        <f ca="1">BL</f>
        <v>0</v>
      </c>
      <c r="J212" s="228">
        <f ca="1">BSD</f>
        <v>0</v>
      </c>
      <c r="K212" s="228">
        <f ca="1">BSL</f>
        <v>0</v>
      </c>
      <c r="L212" s="234"/>
      <c r="M212" s="234"/>
      <c r="N212" s="234"/>
      <c r="O212" s="234"/>
      <c r="P212" s="234">
        <v>0</v>
      </c>
      <c r="Q212" s="235" t="s">
        <v>218</v>
      </c>
    </row>
    <row r="213" spans="2:17" ht="20.100000000000001" customHeight="1">
      <c r="B213" s="230">
        <f t="shared" si="4"/>
        <v>208</v>
      </c>
      <c r="C213" s="204">
        <f t="shared" si="4"/>
        <v>44038</v>
      </c>
      <c r="D213" s="228">
        <f ca="1">JAD</f>
        <v>0</v>
      </c>
      <c r="E213" s="228">
        <f ca="1">JAL</f>
        <v>0</v>
      </c>
      <c r="F213" s="234"/>
      <c r="G213" s="234"/>
      <c r="H213" s="228">
        <f ca="1">BD</f>
        <v>0</v>
      </c>
      <c r="I213" s="228">
        <f ca="1">BL</f>
        <v>0</v>
      </c>
      <c r="J213" s="228">
        <f ca="1">BSD</f>
        <v>0</v>
      </c>
      <c r="K213" s="228">
        <f ca="1">BSL</f>
        <v>0</v>
      </c>
      <c r="L213" s="234"/>
      <c r="M213" s="234"/>
      <c r="N213" s="234"/>
      <c r="O213" s="234"/>
      <c r="P213" s="234">
        <v>0</v>
      </c>
      <c r="Q213" s="235" t="s">
        <v>218</v>
      </c>
    </row>
    <row r="214" spans="2:17" ht="20.100000000000001" customHeight="1">
      <c r="B214" s="230">
        <f t="shared" si="4"/>
        <v>209</v>
      </c>
      <c r="C214" s="204">
        <f t="shared" si="4"/>
        <v>44039</v>
      </c>
      <c r="D214" s="228">
        <f ca="1">JAD</f>
        <v>0</v>
      </c>
      <c r="E214" s="228">
        <f ca="1">JAL</f>
        <v>0</v>
      </c>
      <c r="F214" s="234"/>
      <c r="G214" s="234"/>
      <c r="H214" s="228">
        <f ca="1">BD</f>
        <v>0</v>
      </c>
      <c r="I214" s="228">
        <f ca="1">BL</f>
        <v>0</v>
      </c>
      <c r="J214" s="228">
        <f ca="1">BSD</f>
        <v>0</v>
      </c>
      <c r="K214" s="228">
        <f ca="1">BSL</f>
        <v>0</v>
      </c>
      <c r="L214" s="234"/>
      <c r="M214" s="234"/>
      <c r="N214" s="234"/>
      <c r="O214" s="234"/>
      <c r="P214" s="234">
        <v>0</v>
      </c>
      <c r="Q214" s="235" t="s">
        <v>218</v>
      </c>
    </row>
    <row r="215" spans="2:17" ht="20.100000000000001" customHeight="1">
      <c r="B215" s="230">
        <f t="shared" si="4"/>
        <v>210</v>
      </c>
      <c r="C215" s="204">
        <f t="shared" si="4"/>
        <v>44040</v>
      </c>
      <c r="D215" s="228">
        <f ca="1">JAD</f>
        <v>0</v>
      </c>
      <c r="E215" s="228">
        <f ca="1">JAL</f>
        <v>0</v>
      </c>
      <c r="F215" s="234"/>
      <c r="G215" s="234"/>
      <c r="H215" s="228">
        <f ca="1">BD</f>
        <v>0</v>
      </c>
      <c r="I215" s="228">
        <f ca="1">BL</f>
        <v>0</v>
      </c>
      <c r="J215" s="228">
        <f ca="1">BSD</f>
        <v>0</v>
      </c>
      <c r="K215" s="228">
        <f ca="1">BSL</f>
        <v>0</v>
      </c>
      <c r="L215" s="234"/>
      <c r="M215" s="234"/>
      <c r="N215" s="234"/>
      <c r="O215" s="234"/>
      <c r="P215" s="234">
        <v>0</v>
      </c>
      <c r="Q215" s="235" t="s">
        <v>218</v>
      </c>
    </row>
    <row r="216" spans="2:17" ht="20.100000000000001" customHeight="1">
      <c r="B216" s="230">
        <f t="shared" si="4"/>
        <v>211</v>
      </c>
      <c r="C216" s="204">
        <f t="shared" si="4"/>
        <v>44041</v>
      </c>
      <c r="D216" s="228">
        <f ca="1">JAD</f>
        <v>0</v>
      </c>
      <c r="E216" s="228">
        <f ca="1">JAL</f>
        <v>0</v>
      </c>
      <c r="F216" s="234"/>
      <c r="G216" s="234"/>
      <c r="H216" s="228">
        <f ca="1">BD</f>
        <v>0</v>
      </c>
      <c r="I216" s="228">
        <f ca="1">BL</f>
        <v>0</v>
      </c>
      <c r="J216" s="228">
        <f ca="1">BSD</f>
        <v>0</v>
      </c>
      <c r="K216" s="228">
        <f ca="1">BSL</f>
        <v>0</v>
      </c>
      <c r="L216" s="234"/>
      <c r="M216" s="234"/>
      <c r="N216" s="234"/>
      <c r="O216" s="234"/>
      <c r="P216" s="234">
        <v>0</v>
      </c>
      <c r="Q216" s="235" t="s">
        <v>218</v>
      </c>
    </row>
    <row r="217" spans="2:17" ht="20.100000000000001" customHeight="1">
      <c r="B217" s="230">
        <f t="shared" si="4"/>
        <v>212</v>
      </c>
      <c r="C217" s="204">
        <f t="shared" si="4"/>
        <v>44042</v>
      </c>
      <c r="D217" s="228">
        <f ca="1">JAD</f>
        <v>0</v>
      </c>
      <c r="E217" s="228">
        <f ca="1">JAL</f>
        <v>0</v>
      </c>
      <c r="F217" s="234"/>
      <c r="G217" s="234"/>
      <c r="H217" s="228">
        <f ca="1">BD</f>
        <v>0</v>
      </c>
      <c r="I217" s="228">
        <f ca="1">BL</f>
        <v>0</v>
      </c>
      <c r="J217" s="228">
        <f ca="1">BSD</f>
        <v>0</v>
      </c>
      <c r="K217" s="228">
        <f ca="1">BSL</f>
        <v>0</v>
      </c>
      <c r="L217" s="234"/>
      <c r="M217" s="234"/>
      <c r="N217" s="234"/>
      <c r="O217" s="234"/>
      <c r="P217" s="234">
        <v>0</v>
      </c>
      <c r="Q217" s="235" t="s">
        <v>250</v>
      </c>
    </row>
    <row r="218" spans="2:17" ht="20.100000000000001" customHeight="1">
      <c r="B218" s="230">
        <f t="shared" si="4"/>
        <v>213</v>
      </c>
      <c r="C218" s="204">
        <f t="shared" si="4"/>
        <v>44043</v>
      </c>
      <c r="D218" s="228">
        <f ca="1">JAD</f>
        <v>0</v>
      </c>
      <c r="E218" s="228">
        <f ca="1">JAL</f>
        <v>0</v>
      </c>
      <c r="F218" s="234"/>
      <c r="G218" s="234"/>
      <c r="H218" s="228">
        <f ca="1">BD</f>
        <v>0</v>
      </c>
      <c r="I218" s="228">
        <f ca="1">BL</f>
        <v>0</v>
      </c>
      <c r="J218" s="228">
        <f ca="1">BSD</f>
        <v>0</v>
      </c>
      <c r="K218" s="228">
        <f ca="1">BSL</f>
        <v>0</v>
      </c>
      <c r="L218" s="234"/>
      <c r="M218" s="234"/>
      <c r="N218" s="234"/>
      <c r="O218" s="234"/>
      <c r="P218" s="234">
        <v>0</v>
      </c>
      <c r="Q218" s="235" t="s">
        <v>122</v>
      </c>
    </row>
    <row r="219" spans="2:17" ht="20.100000000000001" customHeight="1">
      <c r="B219" s="230">
        <f t="shared" si="4"/>
        <v>214</v>
      </c>
      <c r="C219" s="204">
        <f t="shared" si="4"/>
        <v>44044</v>
      </c>
      <c r="D219" s="228">
        <f ca="1">JAD</f>
        <v>0</v>
      </c>
      <c r="E219" s="228">
        <f ca="1">JAL</f>
        <v>0</v>
      </c>
      <c r="F219" s="234"/>
      <c r="G219" s="234"/>
      <c r="H219" s="228">
        <f ca="1">BD</f>
        <v>0</v>
      </c>
      <c r="I219" s="228">
        <f ca="1">BL</f>
        <v>0</v>
      </c>
      <c r="J219" s="228">
        <f ca="1">BSD</f>
        <v>0</v>
      </c>
      <c r="K219" s="228">
        <f ca="1">BSL</f>
        <v>0</v>
      </c>
      <c r="L219" s="234"/>
      <c r="M219" s="234"/>
      <c r="N219" s="234"/>
      <c r="O219" s="234"/>
      <c r="P219" s="234">
        <v>0</v>
      </c>
      <c r="Q219" s="235" t="s">
        <v>250</v>
      </c>
    </row>
    <row r="220" spans="2:17" ht="20.100000000000001" customHeight="1">
      <c r="B220" s="230">
        <f t="shared" si="4"/>
        <v>215</v>
      </c>
      <c r="C220" s="204">
        <f t="shared" si="4"/>
        <v>44045</v>
      </c>
      <c r="D220" s="228">
        <f ca="1">JAD</f>
        <v>0</v>
      </c>
      <c r="E220" s="228">
        <f ca="1">JAL</f>
        <v>0</v>
      </c>
      <c r="F220" s="234"/>
      <c r="G220" s="234"/>
      <c r="H220" s="228">
        <f ca="1">BD</f>
        <v>0</v>
      </c>
      <c r="I220" s="228">
        <f ca="1">BL</f>
        <v>0</v>
      </c>
      <c r="J220" s="228">
        <f ca="1">BSD</f>
        <v>0</v>
      </c>
      <c r="K220" s="228">
        <f ca="1">BSL</f>
        <v>0</v>
      </c>
      <c r="L220" s="234"/>
      <c r="M220" s="234"/>
      <c r="N220" s="234"/>
      <c r="O220" s="234"/>
      <c r="P220" s="234">
        <v>0</v>
      </c>
      <c r="Q220" s="235" t="s">
        <v>250</v>
      </c>
    </row>
    <row r="221" spans="2:17" ht="20.100000000000001" customHeight="1">
      <c r="B221" s="230">
        <f t="shared" si="4"/>
        <v>216</v>
      </c>
      <c r="C221" s="204">
        <f t="shared" si="4"/>
        <v>44046</v>
      </c>
      <c r="D221" s="228">
        <f ca="1">JAD</f>
        <v>0</v>
      </c>
      <c r="E221" s="228">
        <f ca="1">JAL</f>
        <v>0</v>
      </c>
      <c r="F221" s="234"/>
      <c r="G221" s="234"/>
      <c r="H221" s="228">
        <f ca="1">BD</f>
        <v>0</v>
      </c>
      <c r="I221" s="228">
        <f ca="1">BL</f>
        <v>0</v>
      </c>
      <c r="J221" s="228">
        <f ca="1">BSD</f>
        <v>0</v>
      </c>
      <c r="K221" s="228">
        <f ca="1">BSL</f>
        <v>0</v>
      </c>
      <c r="L221" s="234"/>
      <c r="M221" s="234"/>
      <c r="N221" s="234"/>
      <c r="O221" s="234"/>
      <c r="P221" s="234">
        <v>0</v>
      </c>
      <c r="Q221" s="235" t="s">
        <v>250</v>
      </c>
    </row>
    <row r="222" spans="2:17" ht="20.100000000000001" customHeight="1">
      <c r="B222" s="230">
        <f t="shared" si="4"/>
        <v>217</v>
      </c>
      <c r="C222" s="204">
        <f t="shared" si="4"/>
        <v>44047</v>
      </c>
      <c r="D222" s="228">
        <f ca="1">JAD</f>
        <v>0</v>
      </c>
      <c r="E222" s="228">
        <f ca="1">JAL</f>
        <v>0</v>
      </c>
      <c r="F222" s="234"/>
      <c r="G222" s="234"/>
      <c r="H222" s="228">
        <f ca="1">BD</f>
        <v>0</v>
      </c>
      <c r="I222" s="228">
        <f ca="1">BL</f>
        <v>0</v>
      </c>
      <c r="J222" s="228">
        <f ca="1">BSD</f>
        <v>0</v>
      </c>
      <c r="K222" s="228">
        <f ca="1">BSL</f>
        <v>0</v>
      </c>
      <c r="L222" s="234"/>
      <c r="M222" s="234"/>
      <c r="N222" s="234"/>
      <c r="O222" s="234"/>
      <c r="P222" s="234">
        <v>0</v>
      </c>
      <c r="Q222" s="235" t="s">
        <v>250</v>
      </c>
    </row>
    <row r="223" spans="2:17" ht="20.100000000000001" customHeight="1">
      <c r="B223" s="230">
        <f t="shared" si="4"/>
        <v>218</v>
      </c>
      <c r="C223" s="204">
        <f t="shared" si="4"/>
        <v>44048</v>
      </c>
      <c r="D223" s="228">
        <f ca="1">JAD</f>
        <v>0</v>
      </c>
      <c r="E223" s="228">
        <f ca="1">JAL</f>
        <v>0</v>
      </c>
      <c r="F223" s="234"/>
      <c r="G223" s="234"/>
      <c r="H223" s="228">
        <f ca="1">BD</f>
        <v>0</v>
      </c>
      <c r="I223" s="228">
        <f ca="1">BL</f>
        <v>0</v>
      </c>
      <c r="J223" s="228">
        <f ca="1">BSD</f>
        <v>0</v>
      </c>
      <c r="K223" s="228">
        <f ca="1">BSL</f>
        <v>0</v>
      </c>
      <c r="L223" s="234"/>
      <c r="M223" s="234"/>
      <c r="N223" s="234"/>
      <c r="O223" s="234"/>
      <c r="P223" s="234">
        <v>0</v>
      </c>
      <c r="Q223" s="235" t="s">
        <v>250</v>
      </c>
    </row>
    <row r="224" spans="2:17" ht="20.100000000000001" customHeight="1">
      <c r="B224" s="230">
        <f t="shared" si="4"/>
        <v>219</v>
      </c>
      <c r="C224" s="204">
        <f t="shared" si="4"/>
        <v>44049</v>
      </c>
      <c r="D224" s="228">
        <f ca="1">JAD</f>
        <v>0</v>
      </c>
      <c r="E224" s="228">
        <f ca="1">JAL</f>
        <v>0</v>
      </c>
      <c r="F224" s="234"/>
      <c r="G224" s="234"/>
      <c r="H224" s="228">
        <f ca="1">BD</f>
        <v>0</v>
      </c>
      <c r="I224" s="228">
        <f ca="1">BL</f>
        <v>0</v>
      </c>
      <c r="J224" s="228">
        <f ca="1">BSD</f>
        <v>0</v>
      </c>
      <c r="K224" s="228">
        <f ca="1">BSL</f>
        <v>0</v>
      </c>
      <c r="L224" s="234"/>
      <c r="M224" s="234"/>
      <c r="N224" s="234"/>
      <c r="O224" s="234"/>
      <c r="P224" s="234">
        <v>0</v>
      </c>
      <c r="Q224" s="235" t="s">
        <v>250</v>
      </c>
    </row>
    <row r="225" spans="2:17" ht="20.100000000000001" customHeight="1">
      <c r="B225" s="230">
        <f t="shared" si="4"/>
        <v>220</v>
      </c>
      <c r="C225" s="204">
        <f t="shared" si="4"/>
        <v>44050</v>
      </c>
      <c r="D225" s="228">
        <f ca="1">JAD</f>
        <v>0</v>
      </c>
      <c r="E225" s="228">
        <f ca="1">JAL</f>
        <v>0</v>
      </c>
      <c r="F225" s="234"/>
      <c r="G225" s="234"/>
      <c r="H225" s="228">
        <f ca="1">BD</f>
        <v>0</v>
      </c>
      <c r="I225" s="228">
        <f ca="1">BL</f>
        <v>0</v>
      </c>
      <c r="J225" s="228">
        <f ca="1">BSD</f>
        <v>0</v>
      </c>
      <c r="K225" s="228">
        <f ca="1">BSL</f>
        <v>0</v>
      </c>
      <c r="L225" s="234"/>
      <c r="M225" s="234"/>
      <c r="N225" s="234"/>
      <c r="O225" s="234"/>
      <c r="P225" s="234">
        <v>0</v>
      </c>
      <c r="Q225" s="235" t="s">
        <v>250</v>
      </c>
    </row>
    <row r="226" spans="2:17" ht="20.100000000000001" customHeight="1">
      <c r="B226" s="230">
        <f t="shared" si="4"/>
        <v>221</v>
      </c>
      <c r="C226" s="204">
        <f t="shared" si="4"/>
        <v>44051</v>
      </c>
      <c r="D226" s="228">
        <f ca="1">JAD</f>
        <v>0</v>
      </c>
      <c r="E226" s="228">
        <f ca="1">JAL</f>
        <v>0</v>
      </c>
      <c r="F226" s="234"/>
      <c r="G226" s="234"/>
      <c r="H226" s="228">
        <f ca="1">BD</f>
        <v>0</v>
      </c>
      <c r="I226" s="228">
        <f ca="1">BL</f>
        <v>0</v>
      </c>
      <c r="J226" s="228">
        <f ca="1">BSD</f>
        <v>0</v>
      </c>
      <c r="K226" s="228">
        <f ca="1">BSL</f>
        <v>0</v>
      </c>
      <c r="L226" s="234"/>
      <c r="M226" s="234"/>
      <c r="N226" s="234"/>
      <c r="O226" s="234"/>
      <c r="P226" s="234">
        <v>0</v>
      </c>
      <c r="Q226" s="235" t="s">
        <v>250</v>
      </c>
    </row>
    <row r="227" spans="2:17" ht="20.100000000000001" customHeight="1">
      <c r="B227" s="230">
        <f t="shared" si="4"/>
        <v>222</v>
      </c>
      <c r="C227" s="204">
        <f t="shared" si="4"/>
        <v>44052</v>
      </c>
      <c r="D227" s="228">
        <f ca="1">JAD</f>
        <v>0</v>
      </c>
      <c r="E227" s="228">
        <f ca="1">JAL</f>
        <v>0</v>
      </c>
      <c r="F227" s="234"/>
      <c r="G227" s="234"/>
      <c r="H227" s="228">
        <f ca="1">BD</f>
        <v>0</v>
      </c>
      <c r="I227" s="228">
        <f ca="1">BL</f>
        <v>0</v>
      </c>
      <c r="J227" s="228">
        <f ca="1">BSD</f>
        <v>0</v>
      </c>
      <c r="K227" s="228">
        <f ca="1">BSL</f>
        <v>0</v>
      </c>
      <c r="L227" s="234"/>
      <c r="M227" s="234"/>
      <c r="N227" s="234"/>
      <c r="O227" s="234"/>
      <c r="P227" s="234">
        <v>0</v>
      </c>
      <c r="Q227" s="235" t="s">
        <v>250</v>
      </c>
    </row>
    <row r="228" spans="2:17" ht="20.100000000000001" customHeight="1">
      <c r="B228" s="230">
        <f t="shared" si="4"/>
        <v>223</v>
      </c>
      <c r="C228" s="204">
        <f t="shared" si="4"/>
        <v>44053</v>
      </c>
      <c r="D228" s="228">
        <f ca="1">JAD</f>
        <v>0</v>
      </c>
      <c r="E228" s="228">
        <f ca="1">JAL</f>
        <v>0</v>
      </c>
      <c r="F228" s="234"/>
      <c r="G228" s="234"/>
      <c r="H228" s="228">
        <f ca="1">BD</f>
        <v>0</v>
      </c>
      <c r="I228" s="228">
        <f ca="1">BL</f>
        <v>0</v>
      </c>
      <c r="J228" s="228">
        <f ca="1">BSD</f>
        <v>0</v>
      </c>
      <c r="K228" s="228">
        <f ca="1">BSL</f>
        <v>0</v>
      </c>
      <c r="L228" s="234"/>
      <c r="M228" s="234"/>
      <c r="N228" s="234"/>
      <c r="O228" s="234"/>
      <c r="P228" s="234">
        <v>0</v>
      </c>
      <c r="Q228" s="235" t="s">
        <v>250</v>
      </c>
    </row>
    <row r="229" spans="2:17" ht="20.100000000000001" customHeight="1">
      <c r="B229" s="230">
        <f t="shared" si="4"/>
        <v>224</v>
      </c>
      <c r="C229" s="204">
        <f t="shared" si="4"/>
        <v>44054</v>
      </c>
      <c r="D229" s="228">
        <f ca="1">JAD</f>
        <v>0</v>
      </c>
      <c r="E229" s="228">
        <f ca="1">JAL</f>
        <v>0</v>
      </c>
      <c r="F229" s="234"/>
      <c r="G229" s="234"/>
      <c r="H229" s="228">
        <f ca="1">BD</f>
        <v>0</v>
      </c>
      <c r="I229" s="228">
        <f ca="1">BL</f>
        <v>0</v>
      </c>
      <c r="J229" s="228">
        <f ca="1">BSD</f>
        <v>0</v>
      </c>
      <c r="K229" s="228">
        <f ca="1">BSL</f>
        <v>0</v>
      </c>
      <c r="L229" s="234"/>
      <c r="M229" s="234"/>
      <c r="N229" s="234"/>
      <c r="O229" s="234"/>
      <c r="P229" s="234">
        <v>0</v>
      </c>
      <c r="Q229" s="235" t="s">
        <v>250</v>
      </c>
    </row>
    <row r="230" spans="2:17" ht="20.100000000000001" customHeight="1">
      <c r="B230" s="230">
        <f t="shared" si="4"/>
        <v>225</v>
      </c>
      <c r="C230" s="204">
        <f t="shared" si="4"/>
        <v>44055</v>
      </c>
      <c r="D230" s="228">
        <f ca="1">JAD</f>
        <v>0</v>
      </c>
      <c r="E230" s="228">
        <f ca="1">JAL</f>
        <v>0</v>
      </c>
      <c r="F230" s="234"/>
      <c r="G230" s="234"/>
      <c r="H230" s="228">
        <f ca="1">BD</f>
        <v>0</v>
      </c>
      <c r="I230" s="228">
        <f ca="1">BL</f>
        <v>0</v>
      </c>
      <c r="J230" s="228">
        <f ca="1">BSD</f>
        <v>0</v>
      </c>
      <c r="K230" s="228">
        <f ca="1">BSL</f>
        <v>0</v>
      </c>
      <c r="L230" s="234"/>
      <c r="M230" s="234"/>
      <c r="N230" s="234"/>
      <c r="O230" s="234"/>
      <c r="P230" s="234">
        <v>0</v>
      </c>
      <c r="Q230" s="235" t="s">
        <v>250</v>
      </c>
    </row>
    <row r="231" spans="2:17" ht="20.100000000000001" customHeight="1">
      <c r="B231" s="230">
        <f t="shared" si="4"/>
        <v>226</v>
      </c>
      <c r="C231" s="204">
        <f t="shared" si="4"/>
        <v>44056</v>
      </c>
      <c r="D231" s="228">
        <f ca="1">JAD</f>
        <v>0</v>
      </c>
      <c r="E231" s="228">
        <f ca="1">JAL</f>
        <v>0</v>
      </c>
      <c r="F231" s="234"/>
      <c r="G231" s="234"/>
      <c r="H231" s="228">
        <f ca="1">BD</f>
        <v>0</v>
      </c>
      <c r="I231" s="228">
        <f ca="1">BL</f>
        <v>0</v>
      </c>
      <c r="J231" s="228">
        <f ca="1">BSD</f>
        <v>0</v>
      </c>
      <c r="K231" s="228">
        <f ca="1">BSL</f>
        <v>0</v>
      </c>
      <c r="L231" s="234"/>
      <c r="M231" s="234"/>
      <c r="N231" s="234"/>
      <c r="O231" s="234"/>
      <c r="P231" s="234">
        <v>0</v>
      </c>
      <c r="Q231" s="235" t="s">
        <v>250</v>
      </c>
    </row>
    <row r="232" spans="2:17" ht="20.100000000000001" customHeight="1">
      <c r="B232" s="230">
        <f t="shared" si="4"/>
        <v>227</v>
      </c>
      <c r="C232" s="204">
        <f t="shared" si="4"/>
        <v>44057</v>
      </c>
      <c r="D232" s="228">
        <f ca="1">JAD</f>
        <v>0</v>
      </c>
      <c r="E232" s="228">
        <f ca="1">JAL</f>
        <v>0</v>
      </c>
      <c r="F232" s="234"/>
      <c r="G232" s="234"/>
      <c r="H232" s="228">
        <f ca="1">BD</f>
        <v>0</v>
      </c>
      <c r="I232" s="228">
        <f ca="1">BL</f>
        <v>0</v>
      </c>
      <c r="J232" s="228">
        <f ca="1">BSD</f>
        <v>0</v>
      </c>
      <c r="K232" s="228">
        <f ca="1">BSL</f>
        <v>0</v>
      </c>
      <c r="L232" s="234"/>
      <c r="M232" s="234"/>
      <c r="N232" s="234"/>
      <c r="O232" s="234"/>
      <c r="P232" s="234">
        <v>0</v>
      </c>
      <c r="Q232" s="235" t="s">
        <v>250</v>
      </c>
    </row>
    <row r="233" spans="2:17" ht="20.100000000000001" customHeight="1">
      <c r="B233" s="230">
        <f t="shared" si="4"/>
        <v>228</v>
      </c>
      <c r="C233" s="204">
        <f t="shared" si="4"/>
        <v>44058</v>
      </c>
      <c r="D233" s="228">
        <f ca="1">JAD</f>
        <v>0</v>
      </c>
      <c r="E233" s="228">
        <f ca="1">JAL</f>
        <v>0</v>
      </c>
      <c r="F233" s="234"/>
      <c r="G233" s="234"/>
      <c r="H233" s="228">
        <f ca="1">BD</f>
        <v>0</v>
      </c>
      <c r="I233" s="228">
        <f ca="1">BL</f>
        <v>0</v>
      </c>
      <c r="J233" s="228">
        <f ca="1">BSD</f>
        <v>0</v>
      </c>
      <c r="K233" s="228">
        <f ca="1">BSL</f>
        <v>0</v>
      </c>
      <c r="L233" s="234"/>
      <c r="M233" s="234"/>
      <c r="N233" s="234"/>
      <c r="O233" s="234"/>
      <c r="P233" s="234">
        <v>0</v>
      </c>
      <c r="Q233" s="235" t="s">
        <v>250</v>
      </c>
    </row>
    <row r="234" spans="2:17" ht="20.100000000000001" customHeight="1">
      <c r="B234" s="230">
        <f t="shared" si="4"/>
        <v>229</v>
      </c>
      <c r="C234" s="204">
        <f t="shared" si="4"/>
        <v>44059</v>
      </c>
      <c r="D234" s="228">
        <f ca="1">JAD</f>
        <v>0</v>
      </c>
      <c r="E234" s="228">
        <f ca="1">JAL</f>
        <v>0</v>
      </c>
      <c r="F234" s="234"/>
      <c r="G234" s="234"/>
      <c r="H234" s="228">
        <f ca="1">BD</f>
        <v>0</v>
      </c>
      <c r="I234" s="228">
        <f ca="1">BL</f>
        <v>0</v>
      </c>
      <c r="J234" s="228">
        <f ca="1">BSD</f>
        <v>0</v>
      </c>
      <c r="K234" s="228">
        <f ca="1">BSL</f>
        <v>0</v>
      </c>
      <c r="L234" s="234"/>
      <c r="M234" s="234"/>
      <c r="N234" s="234"/>
      <c r="O234" s="234"/>
      <c r="P234" s="234">
        <v>0</v>
      </c>
      <c r="Q234" s="235" t="s">
        <v>250</v>
      </c>
    </row>
    <row r="235" spans="2:17" ht="20.100000000000001" customHeight="1">
      <c r="B235" s="230">
        <f t="shared" si="4"/>
        <v>230</v>
      </c>
      <c r="C235" s="204">
        <f t="shared" si="4"/>
        <v>44060</v>
      </c>
      <c r="D235" s="228">
        <f ca="1">JAD</f>
        <v>0</v>
      </c>
      <c r="E235" s="228">
        <f ca="1">JAL</f>
        <v>0</v>
      </c>
      <c r="F235" s="234"/>
      <c r="G235" s="234"/>
      <c r="H235" s="228">
        <f ca="1">BD</f>
        <v>0</v>
      </c>
      <c r="I235" s="228">
        <f ca="1">BL</f>
        <v>0</v>
      </c>
      <c r="J235" s="228">
        <f ca="1">BSD</f>
        <v>0</v>
      </c>
      <c r="K235" s="228">
        <f ca="1">BSL</f>
        <v>0</v>
      </c>
      <c r="L235" s="234"/>
      <c r="M235" s="234"/>
      <c r="N235" s="234"/>
      <c r="O235" s="234"/>
      <c r="P235" s="234">
        <v>0</v>
      </c>
      <c r="Q235" s="235" t="s">
        <v>250</v>
      </c>
    </row>
    <row r="236" spans="2:17" ht="20.100000000000001" customHeight="1">
      <c r="B236" s="230">
        <f t="shared" si="4"/>
        <v>231</v>
      </c>
      <c r="C236" s="204">
        <f t="shared" si="4"/>
        <v>44061</v>
      </c>
      <c r="D236" s="228">
        <f ca="1">JAD</f>
        <v>0</v>
      </c>
      <c r="E236" s="228">
        <f ca="1">JAL</f>
        <v>0</v>
      </c>
      <c r="F236" s="234"/>
      <c r="G236" s="234"/>
      <c r="H236" s="228">
        <f ca="1">BD</f>
        <v>0</v>
      </c>
      <c r="I236" s="228">
        <f ca="1">BL</f>
        <v>0</v>
      </c>
      <c r="J236" s="228">
        <f ca="1">BSD</f>
        <v>0</v>
      </c>
      <c r="K236" s="228">
        <f ca="1">BSL</f>
        <v>0</v>
      </c>
      <c r="L236" s="234"/>
      <c r="M236" s="234"/>
      <c r="N236" s="234"/>
      <c r="O236" s="234"/>
      <c r="P236" s="234">
        <v>0</v>
      </c>
      <c r="Q236" s="235" t="s">
        <v>250</v>
      </c>
    </row>
    <row r="237" spans="2:17" ht="20.100000000000001" customHeight="1">
      <c r="B237" s="230">
        <f t="shared" si="4"/>
        <v>232</v>
      </c>
      <c r="C237" s="204">
        <f t="shared" si="4"/>
        <v>44062</v>
      </c>
      <c r="D237" s="228">
        <f ca="1">JAD</f>
        <v>0</v>
      </c>
      <c r="E237" s="228">
        <f ca="1">JAL</f>
        <v>0</v>
      </c>
      <c r="F237" s="234"/>
      <c r="G237" s="234"/>
      <c r="H237" s="228">
        <f ca="1">BD</f>
        <v>0</v>
      </c>
      <c r="I237" s="228">
        <f ca="1">BL</f>
        <v>0</v>
      </c>
      <c r="J237" s="228">
        <f ca="1">BSD</f>
        <v>0</v>
      </c>
      <c r="K237" s="228">
        <f ca="1">BSL</f>
        <v>0</v>
      </c>
      <c r="L237" s="234"/>
      <c r="M237" s="234"/>
      <c r="N237" s="234"/>
      <c r="O237" s="234"/>
      <c r="P237" s="234">
        <v>0</v>
      </c>
      <c r="Q237" s="235" t="s">
        <v>250</v>
      </c>
    </row>
    <row r="238" spans="2:17" ht="20.100000000000001" customHeight="1">
      <c r="B238" s="230">
        <f t="shared" si="4"/>
        <v>233</v>
      </c>
      <c r="C238" s="204">
        <f t="shared" si="4"/>
        <v>44063</v>
      </c>
      <c r="D238" s="228">
        <f ca="1">JAD</f>
        <v>0</v>
      </c>
      <c r="E238" s="228">
        <f ca="1">JAL</f>
        <v>0</v>
      </c>
      <c r="F238" s="234"/>
      <c r="G238" s="234"/>
      <c r="H238" s="228">
        <f ca="1">BD</f>
        <v>0</v>
      </c>
      <c r="I238" s="228">
        <f ca="1">BL</f>
        <v>0</v>
      </c>
      <c r="J238" s="228">
        <f ca="1">BSD</f>
        <v>0</v>
      </c>
      <c r="K238" s="228">
        <f ca="1">BSL</f>
        <v>0</v>
      </c>
      <c r="L238" s="234"/>
      <c r="M238" s="234"/>
      <c r="N238" s="234"/>
      <c r="O238" s="234"/>
      <c r="P238" s="234">
        <v>0</v>
      </c>
      <c r="Q238" s="235" t="s">
        <v>122</v>
      </c>
    </row>
    <row r="239" spans="2:17" ht="20.100000000000001" customHeight="1">
      <c r="B239" s="230">
        <f t="shared" si="4"/>
        <v>234</v>
      </c>
      <c r="C239" s="204">
        <f t="shared" si="4"/>
        <v>44064</v>
      </c>
      <c r="D239" s="228">
        <f ca="1">JAD</f>
        <v>0</v>
      </c>
      <c r="E239" s="228">
        <f ca="1">JAL</f>
        <v>0</v>
      </c>
      <c r="F239" s="234"/>
      <c r="G239" s="234"/>
      <c r="H239" s="228">
        <f ca="1">BD</f>
        <v>0</v>
      </c>
      <c r="I239" s="228">
        <f ca="1">BL</f>
        <v>0</v>
      </c>
      <c r="J239" s="228">
        <f ca="1">BSD</f>
        <v>0</v>
      </c>
      <c r="K239" s="228">
        <f ca="1">BSL</f>
        <v>0</v>
      </c>
      <c r="L239" s="234"/>
      <c r="M239" s="234"/>
      <c r="N239" s="234"/>
      <c r="O239" s="234"/>
      <c r="P239" s="234">
        <v>0</v>
      </c>
      <c r="Q239" s="235" t="s">
        <v>122</v>
      </c>
    </row>
    <row r="240" spans="2:17" ht="20.100000000000001" customHeight="1">
      <c r="B240" s="230">
        <f t="shared" si="4"/>
        <v>235</v>
      </c>
      <c r="C240" s="204">
        <f t="shared" si="4"/>
        <v>44065</v>
      </c>
      <c r="D240" s="228">
        <f ca="1">JAD</f>
        <v>0</v>
      </c>
      <c r="E240" s="228">
        <f ca="1">JAL</f>
        <v>0</v>
      </c>
      <c r="F240" s="234"/>
      <c r="G240" s="234"/>
      <c r="H240" s="228">
        <f ca="1">BD</f>
        <v>0</v>
      </c>
      <c r="I240" s="228">
        <f ca="1">BL</f>
        <v>0</v>
      </c>
      <c r="J240" s="228">
        <f ca="1">BSD</f>
        <v>0</v>
      </c>
      <c r="K240" s="228">
        <f ca="1">BSL</f>
        <v>0</v>
      </c>
      <c r="L240" s="234"/>
      <c r="M240" s="234"/>
      <c r="N240" s="234"/>
      <c r="O240" s="234"/>
      <c r="P240" s="234">
        <v>0</v>
      </c>
      <c r="Q240" s="235" t="s">
        <v>122</v>
      </c>
    </row>
    <row r="241" spans="2:17" ht="20.100000000000001" customHeight="1">
      <c r="B241" s="230">
        <f t="shared" si="4"/>
        <v>236</v>
      </c>
      <c r="C241" s="204">
        <f t="shared" si="4"/>
        <v>44066</v>
      </c>
      <c r="D241" s="228">
        <f ca="1">JAD</f>
        <v>0</v>
      </c>
      <c r="E241" s="228">
        <f ca="1">JAL</f>
        <v>0</v>
      </c>
      <c r="F241" s="234"/>
      <c r="G241" s="234"/>
      <c r="H241" s="228">
        <f ca="1">BD</f>
        <v>0</v>
      </c>
      <c r="I241" s="228">
        <f ca="1">BL</f>
        <v>0</v>
      </c>
      <c r="J241" s="228">
        <f ca="1">BSD</f>
        <v>0</v>
      </c>
      <c r="K241" s="228">
        <f ca="1">BSL</f>
        <v>0</v>
      </c>
      <c r="L241" s="234"/>
      <c r="M241" s="234"/>
      <c r="N241" s="234"/>
      <c r="O241" s="234"/>
      <c r="P241" s="234">
        <v>0</v>
      </c>
      <c r="Q241" s="235" t="s">
        <v>250</v>
      </c>
    </row>
    <row r="242" spans="2:17" ht="20.100000000000001" customHeight="1">
      <c r="B242" s="230">
        <f t="shared" si="4"/>
        <v>237</v>
      </c>
      <c r="C242" s="204">
        <f t="shared" si="4"/>
        <v>44067</v>
      </c>
      <c r="D242" s="228">
        <f ca="1">JAD</f>
        <v>0</v>
      </c>
      <c r="E242" s="228">
        <f ca="1">JAL</f>
        <v>0</v>
      </c>
      <c r="F242" s="234"/>
      <c r="G242" s="234"/>
      <c r="H242" s="228">
        <f ca="1">BD</f>
        <v>0</v>
      </c>
      <c r="I242" s="228">
        <f ca="1">BL</f>
        <v>0</v>
      </c>
      <c r="J242" s="228">
        <f ca="1">BSD</f>
        <v>0</v>
      </c>
      <c r="K242" s="228">
        <f ca="1">BSL</f>
        <v>0</v>
      </c>
      <c r="L242" s="234"/>
      <c r="M242" s="234"/>
      <c r="N242" s="234"/>
      <c r="O242" s="234"/>
      <c r="P242" s="234">
        <v>0</v>
      </c>
      <c r="Q242" s="235" t="s">
        <v>250</v>
      </c>
    </row>
    <row r="243" spans="2:17" ht="20.100000000000001" customHeight="1">
      <c r="B243" s="230">
        <f t="shared" si="4"/>
        <v>238</v>
      </c>
      <c r="C243" s="204">
        <f t="shared" si="4"/>
        <v>44068</v>
      </c>
      <c r="D243" s="228">
        <f ca="1">JAD</f>
        <v>0</v>
      </c>
      <c r="E243" s="228">
        <f ca="1">JAL</f>
        <v>0</v>
      </c>
      <c r="F243" s="234"/>
      <c r="G243" s="234"/>
      <c r="H243" s="228">
        <f ca="1">BD</f>
        <v>0</v>
      </c>
      <c r="I243" s="228">
        <f ca="1">BL</f>
        <v>0</v>
      </c>
      <c r="J243" s="228">
        <f ca="1">BSD</f>
        <v>0</v>
      </c>
      <c r="K243" s="228">
        <f ca="1">BSL</f>
        <v>0</v>
      </c>
      <c r="L243" s="234"/>
      <c r="M243" s="234"/>
      <c r="N243" s="234"/>
      <c r="O243" s="234"/>
      <c r="P243" s="234">
        <v>0</v>
      </c>
      <c r="Q243" s="235" t="s">
        <v>122</v>
      </c>
    </row>
    <row r="244" spans="2:17" ht="20.100000000000001" customHeight="1">
      <c r="B244" s="230">
        <f t="shared" si="4"/>
        <v>239</v>
      </c>
      <c r="C244" s="204">
        <f t="shared" si="4"/>
        <v>44069</v>
      </c>
      <c r="D244" s="228">
        <f ca="1">JAD</f>
        <v>0</v>
      </c>
      <c r="E244" s="228">
        <f ca="1">JAL</f>
        <v>0</v>
      </c>
      <c r="F244" s="234"/>
      <c r="G244" s="234"/>
      <c r="H244" s="228">
        <f ca="1">BD</f>
        <v>0</v>
      </c>
      <c r="I244" s="228">
        <f ca="1">BL</f>
        <v>0</v>
      </c>
      <c r="J244" s="228">
        <f ca="1">BSD</f>
        <v>0</v>
      </c>
      <c r="K244" s="228">
        <f ca="1">BSL</f>
        <v>0</v>
      </c>
      <c r="L244" s="234"/>
      <c r="M244" s="234"/>
      <c r="N244" s="234"/>
      <c r="O244" s="234"/>
      <c r="P244" s="234">
        <v>0</v>
      </c>
      <c r="Q244" s="235" t="s">
        <v>250</v>
      </c>
    </row>
    <row r="245" spans="2:17" ht="20.100000000000001" customHeight="1">
      <c r="B245" s="230">
        <f t="shared" si="4"/>
        <v>240</v>
      </c>
      <c r="C245" s="204">
        <f t="shared" si="4"/>
        <v>44070</v>
      </c>
      <c r="D245" s="228">
        <f ca="1">JAD</f>
        <v>0</v>
      </c>
      <c r="E245" s="228">
        <f ca="1">JAL</f>
        <v>0</v>
      </c>
      <c r="F245" s="234"/>
      <c r="G245" s="234"/>
      <c r="H245" s="228">
        <f ca="1">BD</f>
        <v>0</v>
      </c>
      <c r="I245" s="228">
        <f ca="1">BL</f>
        <v>0</v>
      </c>
      <c r="J245" s="228">
        <f ca="1">BSD</f>
        <v>0</v>
      </c>
      <c r="K245" s="228">
        <f ca="1">BSL</f>
        <v>0</v>
      </c>
      <c r="L245" s="234"/>
      <c r="M245" s="234"/>
      <c r="N245" s="234"/>
      <c r="O245" s="234"/>
      <c r="P245" s="234">
        <v>0</v>
      </c>
      <c r="Q245" s="235" t="s">
        <v>122</v>
      </c>
    </row>
    <row r="246" spans="2:17" ht="20.100000000000001" customHeight="1">
      <c r="B246" s="230">
        <f t="shared" si="4"/>
        <v>241</v>
      </c>
      <c r="C246" s="204">
        <f t="shared" si="4"/>
        <v>44071</v>
      </c>
      <c r="D246" s="228">
        <f ca="1">JAD</f>
        <v>0</v>
      </c>
      <c r="E246" s="228">
        <f ca="1">JAL</f>
        <v>0</v>
      </c>
      <c r="F246" s="234"/>
      <c r="G246" s="234"/>
      <c r="H246" s="228">
        <f ca="1">BD</f>
        <v>0</v>
      </c>
      <c r="I246" s="228">
        <f ca="1">BL</f>
        <v>0</v>
      </c>
      <c r="J246" s="228">
        <f ca="1">BSD</f>
        <v>0</v>
      </c>
      <c r="K246" s="228">
        <f ca="1">BSL</f>
        <v>0</v>
      </c>
      <c r="L246" s="234"/>
      <c r="M246" s="234"/>
      <c r="N246" s="234"/>
      <c r="O246" s="234"/>
      <c r="P246" s="234">
        <v>0</v>
      </c>
      <c r="Q246" s="235" t="s">
        <v>250</v>
      </c>
    </row>
    <row r="247" spans="2:17" ht="20.100000000000001" customHeight="1">
      <c r="B247" s="230">
        <f t="shared" si="4"/>
        <v>242</v>
      </c>
      <c r="C247" s="204">
        <f t="shared" si="4"/>
        <v>44072</v>
      </c>
      <c r="D247" s="228">
        <f ca="1">JAD</f>
        <v>0</v>
      </c>
      <c r="E247" s="228">
        <f ca="1">JAL</f>
        <v>0</v>
      </c>
      <c r="F247" s="234"/>
      <c r="G247" s="234"/>
      <c r="H247" s="228">
        <f ca="1">BD</f>
        <v>0</v>
      </c>
      <c r="I247" s="228">
        <f ca="1">BL</f>
        <v>0</v>
      </c>
      <c r="J247" s="228">
        <f ca="1">BSD</f>
        <v>0</v>
      </c>
      <c r="K247" s="228">
        <f ca="1">BSL</f>
        <v>0</v>
      </c>
      <c r="L247" s="234"/>
      <c r="M247" s="234"/>
      <c r="N247" s="234"/>
      <c r="O247" s="234"/>
      <c r="P247" s="234">
        <v>0</v>
      </c>
      <c r="Q247" s="235" t="s">
        <v>122</v>
      </c>
    </row>
    <row r="248" spans="2:17" ht="20.100000000000001" customHeight="1">
      <c r="B248" s="230">
        <f t="shared" si="4"/>
        <v>243</v>
      </c>
      <c r="C248" s="204">
        <f t="shared" si="4"/>
        <v>44073</v>
      </c>
      <c r="D248" s="228">
        <f ca="1">JAD</f>
        <v>0</v>
      </c>
      <c r="E248" s="228">
        <f ca="1">JAL</f>
        <v>0</v>
      </c>
      <c r="F248" s="234"/>
      <c r="G248" s="234"/>
      <c r="H248" s="228">
        <f ca="1">BD</f>
        <v>0</v>
      </c>
      <c r="I248" s="228">
        <f ca="1">BL</f>
        <v>0</v>
      </c>
      <c r="J248" s="228">
        <f ca="1">BSD</f>
        <v>0</v>
      </c>
      <c r="K248" s="228">
        <f ca="1">BSL</f>
        <v>0</v>
      </c>
      <c r="L248" s="234"/>
      <c r="M248" s="234"/>
      <c r="N248" s="234"/>
      <c r="O248" s="234"/>
      <c r="P248" s="234">
        <v>0</v>
      </c>
      <c r="Q248" s="235" t="s">
        <v>122</v>
      </c>
    </row>
    <row r="249" spans="2:17" ht="20.100000000000001" customHeight="1">
      <c r="B249" s="230">
        <f t="shared" si="4"/>
        <v>244</v>
      </c>
      <c r="C249" s="204">
        <f t="shared" si="4"/>
        <v>44074</v>
      </c>
      <c r="D249" s="228">
        <f ca="1">JAD</f>
        <v>0</v>
      </c>
      <c r="E249" s="228">
        <f ca="1">JAL</f>
        <v>0</v>
      </c>
      <c r="F249" s="234"/>
      <c r="G249" s="234"/>
      <c r="H249" s="228">
        <f ca="1">BD</f>
        <v>0</v>
      </c>
      <c r="I249" s="228">
        <f ca="1">BL</f>
        <v>0</v>
      </c>
      <c r="J249" s="228">
        <f ca="1">BSD</f>
        <v>0</v>
      </c>
      <c r="K249" s="228">
        <f ca="1">BSL</f>
        <v>0</v>
      </c>
      <c r="L249" s="234"/>
      <c r="M249" s="234"/>
      <c r="N249" s="234"/>
      <c r="O249" s="234"/>
      <c r="P249" s="234">
        <v>0</v>
      </c>
      <c r="Q249" s="235" t="s">
        <v>122</v>
      </c>
    </row>
    <row r="250" spans="2:17" ht="20.100000000000001" customHeight="1">
      <c r="B250" s="230">
        <f t="shared" si="4"/>
        <v>245</v>
      </c>
      <c r="C250" s="204">
        <f t="shared" si="4"/>
        <v>44075</v>
      </c>
      <c r="D250" s="228">
        <f ca="1">JAD</f>
        <v>0</v>
      </c>
      <c r="E250" s="228">
        <f ca="1">JAL</f>
        <v>0</v>
      </c>
      <c r="F250" s="234"/>
      <c r="G250" s="234"/>
      <c r="H250" s="228">
        <f ca="1">BD</f>
        <v>0</v>
      </c>
      <c r="I250" s="228">
        <f ca="1">BL</f>
        <v>0</v>
      </c>
      <c r="J250" s="228">
        <f ca="1">BSD</f>
        <v>0</v>
      </c>
      <c r="K250" s="228">
        <f ca="1">BSL</f>
        <v>0</v>
      </c>
      <c r="L250" s="234"/>
      <c r="M250" s="234"/>
      <c r="N250" s="234"/>
      <c r="O250" s="234"/>
      <c r="P250" s="234">
        <v>0</v>
      </c>
      <c r="Q250" s="235" t="s">
        <v>122</v>
      </c>
    </row>
    <row r="251" spans="2:17" ht="20.100000000000001" customHeight="1">
      <c r="B251" s="230">
        <f t="shared" si="4"/>
        <v>246</v>
      </c>
      <c r="C251" s="204">
        <f t="shared" si="4"/>
        <v>44076</v>
      </c>
      <c r="D251" s="228">
        <f ca="1">JAD</f>
        <v>0</v>
      </c>
      <c r="E251" s="228">
        <f ca="1">JAL</f>
        <v>0</v>
      </c>
      <c r="F251" s="234"/>
      <c r="G251" s="234"/>
      <c r="H251" s="228">
        <f ca="1">BD</f>
        <v>0</v>
      </c>
      <c r="I251" s="228">
        <f ca="1">BL</f>
        <v>0</v>
      </c>
      <c r="J251" s="228">
        <f ca="1">BSD</f>
        <v>0</v>
      </c>
      <c r="K251" s="228">
        <f ca="1">BSL</f>
        <v>0</v>
      </c>
      <c r="L251" s="234"/>
      <c r="M251" s="234"/>
      <c r="N251" s="234"/>
      <c r="O251" s="234"/>
      <c r="P251" s="234">
        <v>0</v>
      </c>
      <c r="Q251" s="235" t="s">
        <v>122</v>
      </c>
    </row>
    <row r="252" spans="2:17" ht="20.100000000000001" customHeight="1">
      <c r="B252" s="230">
        <f t="shared" si="4"/>
        <v>247</v>
      </c>
      <c r="C252" s="204">
        <f t="shared" si="4"/>
        <v>44077</v>
      </c>
      <c r="D252" s="228">
        <f ca="1">JAD</f>
        <v>0</v>
      </c>
      <c r="E252" s="228">
        <f ca="1">JAL</f>
        <v>0</v>
      </c>
      <c r="F252" s="234"/>
      <c r="G252" s="234"/>
      <c r="H252" s="228">
        <f ca="1">BD</f>
        <v>0</v>
      </c>
      <c r="I252" s="228">
        <f ca="1">BL</f>
        <v>0</v>
      </c>
      <c r="J252" s="228">
        <f ca="1">BSD</f>
        <v>0</v>
      </c>
      <c r="K252" s="228">
        <f ca="1">BSL</f>
        <v>0</v>
      </c>
      <c r="L252" s="234"/>
      <c r="M252" s="234"/>
      <c r="N252" s="234"/>
      <c r="O252" s="234"/>
      <c r="P252" s="234">
        <v>0</v>
      </c>
      <c r="Q252" s="235" t="s">
        <v>250</v>
      </c>
    </row>
    <row r="253" spans="2:17" ht="20.100000000000001" customHeight="1">
      <c r="B253" s="230">
        <f t="shared" si="4"/>
        <v>248</v>
      </c>
      <c r="C253" s="204">
        <f t="shared" si="4"/>
        <v>44078</v>
      </c>
      <c r="D253" s="228">
        <f ca="1">JAD</f>
        <v>0</v>
      </c>
      <c r="E253" s="228">
        <f ca="1">JAL</f>
        <v>0</v>
      </c>
      <c r="F253" s="234"/>
      <c r="G253" s="234"/>
      <c r="H253" s="228">
        <f ca="1">BD</f>
        <v>0</v>
      </c>
      <c r="I253" s="228">
        <f ca="1">BL</f>
        <v>0</v>
      </c>
      <c r="J253" s="228">
        <f ca="1">BSD</f>
        <v>0</v>
      </c>
      <c r="K253" s="228">
        <f ca="1">BSL</f>
        <v>0</v>
      </c>
      <c r="L253" s="234"/>
      <c r="M253" s="234"/>
      <c r="N253" s="234"/>
      <c r="O253" s="234"/>
      <c r="P253" s="234">
        <v>0</v>
      </c>
      <c r="Q253" s="235" t="s">
        <v>250</v>
      </c>
    </row>
    <row r="254" spans="2:17" ht="20.100000000000001" customHeight="1">
      <c r="B254" s="230">
        <f t="shared" si="4"/>
        <v>249</v>
      </c>
      <c r="C254" s="204">
        <f t="shared" si="4"/>
        <v>44079</v>
      </c>
      <c r="D254" s="228">
        <f ca="1">JAD</f>
        <v>0</v>
      </c>
      <c r="E254" s="228">
        <f ca="1">JAL</f>
        <v>0</v>
      </c>
      <c r="F254" s="234"/>
      <c r="G254" s="234"/>
      <c r="H254" s="228">
        <f ca="1">BD</f>
        <v>0</v>
      </c>
      <c r="I254" s="228">
        <f ca="1">BL</f>
        <v>0</v>
      </c>
      <c r="J254" s="228">
        <f ca="1">BSD</f>
        <v>0</v>
      </c>
      <c r="K254" s="228">
        <f ca="1">BSL</f>
        <v>0</v>
      </c>
      <c r="L254" s="234"/>
      <c r="M254" s="234"/>
      <c r="N254" s="234"/>
      <c r="O254" s="234"/>
      <c r="P254" s="234">
        <v>0</v>
      </c>
      <c r="Q254" s="235" t="s">
        <v>250</v>
      </c>
    </row>
    <row r="255" spans="2:17" ht="20.100000000000001" customHeight="1">
      <c r="B255" s="230">
        <f t="shared" si="4"/>
        <v>250</v>
      </c>
      <c r="C255" s="204">
        <f t="shared" si="4"/>
        <v>44080</v>
      </c>
      <c r="D255" s="228">
        <f ca="1">JAD</f>
        <v>0</v>
      </c>
      <c r="E255" s="228">
        <f ca="1">JAL</f>
        <v>0</v>
      </c>
      <c r="F255" s="234"/>
      <c r="G255" s="234"/>
      <c r="H255" s="228">
        <f ca="1">BD</f>
        <v>0</v>
      </c>
      <c r="I255" s="228">
        <f ca="1">BL</f>
        <v>0</v>
      </c>
      <c r="J255" s="228">
        <f ca="1">BSD</f>
        <v>0</v>
      </c>
      <c r="K255" s="228">
        <f ca="1">BSL</f>
        <v>0</v>
      </c>
      <c r="L255" s="234"/>
      <c r="M255" s="234"/>
      <c r="N255" s="234"/>
      <c r="O255" s="234"/>
      <c r="P255" s="234">
        <v>0</v>
      </c>
      <c r="Q255" s="235" t="s">
        <v>250</v>
      </c>
    </row>
    <row r="256" spans="2:17" ht="20.100000000000001" customHeight="1">
      <c r="B256" s="230">
        <f t="shared" si="4"/>
        <v>251</v>
      </c>
      <c r="C256" s="204">
        <f t="shared" si="4"/>
        <v>44081</v>
      </c>
      <c r="D256" s="228">
        <f ca="1">JAD</f>
        <v>0</v>
      </c>
      <c r="E256" s="228">
        <f ca="1">JAL</f>
        <v>0</v>
      </c>
      <c r="F256" s="234"/>
      <c r="G256" s="234"/>
      <c r="H256" s="228">
        <f ca="1">BD</f>
        <v>0</v>
      </c>
      <c r="I256" s="228">
        <f ca="1">BL</f>
        <v>0</v>
      </c>
      <c r="J256" s="228">
        <f ca="1">BSD</f>
        <v>0</v>
      </c>
      <c r="K256" s="228">
        <f ca="1">BSL</f>
        <v>0</v>
      </c>
      <c r="L256" s="234"/>
      <c r="M256" s="234"/>
      <c r="N256" s="234"/>
      <c r="O256" s="234"/>
      <c r="P256" s="234">
        <v>0</v>
      </c>
      <c r="Q256" s="235" t="s">
        <v>250</v>
      </c>
    </row>
    <row r="257" spans="2:17" ht="20.100000000000001" customHeight="1">
      <c r="B257" s="230">
        <f t="shared" si="4"/>
        <v>252</v>
      </c>
      <c r="C257" s="204">
        <f t="shared" si="4"/>
        <v>44082</v>
      </c>
      <c r="D257" s="228">
        <f ca="1">JAD</f>
        <v>0</v>
      </c>
      <c r="E257" s="228">
        <f ca="1">JAL</f>
        <v>0</v>
      </c>
      <c r="F257" s="234"/>
      <c r="G257" s="234"/>
      <c r="H257" s="228">
        <f ca="1">BD</f>
        <v>0</v>
      </c>
      <c r="I257" s="228">
        <f ca="1">BL</f>
        <v>0</v>
      </c>
      <c r="J257" s="228">
        <f ca="1">BSD</f>
        <v>0</v>
      </c>
      <c r="K257" s="228">
        <f ca="1">BSL</f>
        <v>0</v>
      </c>
      <c r="L257" s="234"/>
      <c r="M257" s="234"/>
      <c r="N257" s="234"/>
      <c r="O257" s="234"/>
      <c r="P257" s="234">
        <v>0</v>
      </c>
      <c r="Q257" s="235" t="s">
        <v>250</v>
      </c>
    </row>
    <row r="258" spans="2:17" ht="20.100000000000001" customHeight="1">
      <c r="B258" s="230">
        <f t="shared" si="4"/>
        <v>253</v>
      </c>
      <c r="C258" s="204">
        <f t="shared" si="4"/>
        <v>44083</v>
      </c>
      <c r="D258" s="228">
        <f ca="1">JAD</f>
        <v>0</v>
      </c>
      <c r="E258" s="228">
        <f ca="1">JAL</f>
        <v>0</v>
      </c>
      <c r="F258" s="234"/>
      <c r="G258" s="234"/>
      <c r="H258" s="228">
        <f ca="1">BD</f>
        <v>0</v>
      </c>
      <c r="I258" s="228">
        <f ca="1">BL</f>
        <v>0</v>
      </c>
      <c r="J258" s="228">
        <f ca="1">BSD</f>
        <v>0</v>
      </c>
      <c r="K258" s="228">
        <f ca="1">BSL</f>
        <v>0</v>
      </c>
      <c r="L258" s="234"/>
      <c r="M258" s="234"/>
      <c r="N258" s="234"/>
      <c r="O258" s="234"/>
      <c r="P258" s="234">
        <v>0</v>
      </c>
      <c r="Q258" s="235" t="s">
        <v>250</v>
      </c>
    </row>
    <row r="259" spans="2:17" ht="20.100000000000001" customHeight="1">
      <c r="B259" s="230">
        <f t="shared" si="4"/>
        <v>254</v>
      </c>
      <c r="C259" s="204">
        <f t="shared" si="4"/>
        <v>44084</v>
      </c>
      <c r="D259" s="228">
        <f ca="1">JAD</f>
        <v>0</v>
      </c>
      <c r="E259" s="228">
        <f ca="1">JAL</f>
        <v>0</v>
      </c>
      <c r="F259" s="234"/>
      <c r="G259" s="234"/>
      <c r="H259" s="228">
        <f ca="1">BD</f>
        <v>0</v>
      </c>
      <c r="I259" s="228">
        <f ca="1">BL</f>
        <v>0</v>
      </c>
      <c r="J259" s="228">
        <f ca="1">BSD</f>
        <v>0</v>
      </c>
      <c r="K259" s="228">
        <f ca="1">BSL</f>
        <v>0</v>
      </c>
      <c r="L259" s="234"/>
      <c r="M259" s="234"/>
      <c r="N259" s="234"/>
      <c r="O259" s="234"/>
      <c r="P259" s="234">
        <v>0</v>
      </c>
      <c r="Q259" s="235" t="s">
        <v>250</v>
      </c>
    </row>
    <row r="260" spans="2:17" ht="20.100000000000001" customHeight="1">
      <c r="B260" s="230">
        <f t="shared" si="4"/>
        <v>255</v>
      </c>
      <c r="C260" s="204">
        <f t="shared" si="4"/>
        <v>44085</v>
      </c>
      <c r="D260" s="228">
        <f ca="1">JAD</f>
        <v>0</v>
      </c>
      <c r="E260" s="228">
        <f ca="1">JAL</f>
        <v>0</v>
      </c>
      <c r="F260" s="234"/>
      <c r="G260" s="234"/>
      <c r="H260" s="228">
        <f ca="1">BD</f>
        <v>0</v>
      </c>
      <c r="I260" s="228">
        <f ca="1">BL</f>
        <v>0</v>
      </c>
      <c r="J260" s="228">
        <f ca="1">BSD</f>
        <v>0</v>
      </c>
      <c r="K260" s="228">
        <f ca="1">BSL</f>
        <v>0</v>
      </c>
      <c r="L260" s="234"/>
      <c r="M260" s="234"/>
      <c r="N260" s="234"/>
      <c r="O260" s="234"/>
      <c r="P260" s="234">
        <v>0</v>
      </c>
      <c r="Q260" s="235" t="s">
        <v>122</v>
      </c>
    </row>
    <row r="261" spans="2:17" ht="20.100000000000001" customHeight="1">
      <c r="B261" s="230">
        <f t="shared" si="4"/>
        <v>256</v>
      </c>
      <c r="C261" s="204">
        <f t="shared" si="4"/>
        <v>44086</v>
      </c>
      <c r="D261" s="228">
        <f ca="1">JAD</f>
        <v>0</v>
      </c>
      <c r="E261" s="228">
        <f ca="1">JAL</f>
        <v>0</v>
      </c>
      <c r="F261" s="234"/>
      <c r="G261" s="234"/>
      <c r="H261" s="228">
        <f ca="1">BD</f>
        <v>0</v>
      </c>
      <c r="I261" s="228">
        <f ca="1">BL</f>
        <v>0</v>
      </c>
      <c r="J261" s="228">
        <f ca="1">BSD</f>
        <v>0</v>
      </c>
      <c r="K261" s="228">
        <f ca="1">BSL</f>
        <v>0</v>
      </c>
      <c r="L261" s="234"/>
      <c r="M261" s="234"/>
      <c r="N261" s="234"/>
      <c r="O261" s="234"/>
      <c r="P261" s="234">
        <v>0</v>
      </c>
      <c r="Q261" s="235" t="s">
        <v>250</v>
      </c>
    </row>
    <row r="262" spans="2:17" ht="20.100000000000001" customHeight="1">
      <c r="B262" s="230">
        <f t="shared" si="4"/>
        <v>257</v>
      </c>
      <c r="C262" s="204">
        <f t="shared" si="4"/>
        <v>44087</v>
      </c>
      <c r="D262" s="228">
        <f ca="1">JAD</f>
        <v>0</v>
      </c>
      <c r="E262" s="228">
        <f ca="1">JAL</f>
        <v>0</v>
      </c>
      <c r="F262" s="234"/>
      <c r="G262" s="234"/>
      <c r="H262" s="228">
        <f ca="1">BD</f>
        <v>0</v>
      </c>
      <c r="I262" s="228">
        <f ca="1">BL</f>
        <v>0</v>
      </c>
      <c r="J262" s="228">
        <f ca="1">BSD</f>
        <v>0</v>
      </c>
      <c r="K262" s="228">
        <f ca="1">BSL</f>
        <v>0</v>
      </c>
      <c r="L262" s="234"/>
      <c r="M262" s="234"/>
      <c r="N262" s="234"/>
      <c r="O262" s="234"/>
      <c r="P262" s="234">
        <v>0</v>
      </c>
      <c r="Q262" s="235" t="s">
        <v>250</v>
      </c>
    </row>
    <row r="263" spans="2:17" ht="20.100000000000001" customHeight="1">
      <c r="B263" s="230">
        <f t="shared" si="4"/>
        <v>258</v>
      </c>
      <c r="C263" s="204">
        <f t="shared" si="4"/>
        <v>44088</v>
      </c>
      <c r="D263" s="228">
        <f ca="1">JAD</f>
        <v>0</v>
      </c>
      <c r="E263" s="228">
        <f ca="1">JAL</f>
        <v>0</v>
      </c>
      <c r="F263" s="234"/>
      <c r="G263" s="234"/>
      <c r="H263" s="228">
        <f ca="1">BD</f>
        <v>0</v>
      </c>
      <c r="I263" s="228">
        <f ca="1">BL</f>
        <v>0</v>
      </c>
      <c r="J263" s="228">
        <f ca="1">BSD</f>
        <v>0</v>
      </c>
      <c r="K263" s="228">
        <f ca="1">BSL</f>
        <v>0</v>
      </c>
      <c r="L263" s="234"/>
      <c r="M263" s="234"/>
      <c r="N263" s="234"/>
      <c r="O263" s="234"/>
      <c r="P263" s="234">
        <v>0</v>
      </c>
      <c r="Q263" s="235" t="s">
        <v>250</v>
      </c>
    </row>
    <row r="264" spans="2:17" ht="20.100000000000001" customHeight="1">
      <c r="B264" s="230">
        <f t="shared" si="4"/>
        <v>259</v>
      </c>
      <c r="C264" s="204">
        <f t="shared" si="4"/>
        <v>44089</v>
      </c>
      <c r="D264" s="228">
        <f ca="1">JAD</f>
        <v>0</v>
      </c>
      <c r="E264" s="228">
        <f ca="1">JAL</f>
        <v>0</v>
      </c>
      <c r="F264" s="234"/>
      <c r="G264" s="234"/>
      <c r="H264" s="228">
        <f ca="1">BD</f>
        <v>0</v>
      </c>
      <c r="I264" s="228">
        <f ca="1">BL</f>
        <v>0</v>
      </c>
      <c r="J264" s="228">
        <f ca="1">BSD</f>
        <v>0</v>
      </c>
      <c r="K264" s="228">
        <f ca="1">BSL</f>
        <v>0</v>
      </c>
      <c r="L264" s="234"/>
      <c r="M264" s="234"/>
      <c r="N264" s="234"/>
      <c r="O264" s="234"/>
      <c r="P264" s="234">
        <v>0</v>
      </c>
      <c r="Q264" s="235" t="s">
        <v>250</v>
      </c>
    </row>
    <row r="265" spans="2:17" ht="20.100000000000001" customHeight="1">
      <c r="B265" s="230">
        <f t="shared" ref="B265:C328" si="5">+B264+1</f>
        <v>260</v>
      </c>
      <c r="C265" s="204">
        <f t="shared" si="5"/>
        <v>44090</v>
      </c>
      <c r="D265" s="228">
        <f ca="1">JAD</f>
        <v>0</v>
      </c>
      <c r="E265" s="228">
        <f ca="1">JAL</f>
        <v>0</v>
      </c>
      <c r="F265" s="234"/>
      <c r="G265" s="234"/>
      <c r="H265" s="228">
        <f ca="1">BD</f>
        <v>0</v>
      </c>
      <c r="I265" s="228">
        <f ca="1">BL</f>
        <v>0</v>
      </c>
      <c r="J265" s="228">
        <f ca="1">BSD</f>
        <v>0</v>
      </c>
      <c r="K265" s="228">
        <f ca="1">BSL</f>
        <v>0</v>
      </c>
      <c r="L265" s="234"/>
      <c r="M265" s="234"/>
      <c r="N265" s="234"/>
      <c r="O265" s="234"/>
      <c r="P265" s="234">
        <v>0</v>
      </c>
      <c r="Q265" s="235" t="s">
        <v>250</v>
      </c>
    </row>
    <row r="266" spans="2:17" ht="20.100000000000001" customHeight="1">
      <c r="B266" s="230">
        <f t="shared" si="5"/>
        <v>261</v>
      </c>
      <c r="C266" s="204">
        <f t="shared" si="5"/>
        <v>44091</v>
      </c>
      <c r="D266" s="228">
        <f ca="1">JAD</f>
        <v>0</v>
      </c>
      <c r="E266" s="228">
        <f ca="1">JAL</f>
        <v>0</v>
      </c>
      <c r="F266" s="234"/>
      <c r="G266" s="234"/>
      <c r="H266" s="228">
        <f ca="1">BD</f>
        <v>0</v>
      </c>
      <c r="I266" s="228">
        <f ca="1">BL</f>
        <v>0</v>
      </c>
      <c r="J266" s="228">
        <f ca="1">BSD</f>
        <v>0</v>
      </c>
      <c r="K266" s="228">
        <f ca="1">BSL</f>
        <v>0</v>
      </c>
      <c r="L266" s="234"/>
      <c r="M266" s="234"/>
      <c r="N266" s="234"/>
      <c r="O266" s="234"/>
      <c r="P266" s="234">
        <v>0</v>
      </c>
      <c r="Q266" s="235" t="s">
        <v>250</v>
      </c>
    </row>
    <row r="267" spans="2:17" ht="20.100000000000001" customHeight="1">
      <c r="B267" s="230">
        <f t="shared" si="5"/>
        <v>262</v>
      </c>
      <c r="C267" s="204">
        <f t="shared" si="5"/>
        <v>44092</v>
      </c>
      <c r="D267" s="228">
        <f ca="1">JAD</f>
        <v>0</v>
      </c>
      <c r="E267" s="228">
        <f ca="1">JAL</f>
        <v>0</v>
      </c>
      <c r="F267" s="234"/>
      <c r="G267" s="234"/>
      <c r="H267" s="228">
        <f ca="1">BD</f>
        <v>0</v>
      </c>
      <c r="I267" s="228">
        <f ca="1">BL</f>
        <v>0</v>
      </c>
      <c r="J267" s="228">
        <f ca="1">BSD</f>
        <v>0</v>
      </c>
      <c r="K267" s="228">
        <f ca="1">BSL</f>
        <v>0</v>
      </c>
      <c r="L267" s="234"/>
      <c r="M267" s="234"/>
      <c r="N267" s="234"/>
      <c r="O267" s="234"/>
      <c r="P267" s="234">
        <v>0</v>
      </c>
      <c r="Q267" s="235" t="s">
        <v>250</v>
      </c>
    </row>
    <row r="268" spans="2:17" ht="20.100000000000001" customHeight="1">
      <c r="B268" s="230">
        <f t="shared" si="5"/>
        <v>263</v>
      </c>
      <c r="C268" s="204">
        <f t="shared" si="5"/>
        <v>44093</v>
      </c>
      <c r="D268" s="228">
        <f ca="1">JAD</f>
        <v>0</v>
      </c>
      <c r="E268" s="228">
        <f ca="1">JAL</f>
        <v>0</v>
      </c>
      <c r="F268" s="234"/>
      <c r="G268" s="234"/>
      <c r="H268" s="228">
        <f ca="1">BD</f>
        <v>0</v>
      </c>
      <c r="I268" s="228">
        <f ca="1">BL</f>
        <v>0</v>
      </c>
      <c r="J268" s="228">
        <f ca="1">BSD</f>
        <v>0</v>
      </c>
      <c r="K268" s="228">
        <f ca="1">BSL</f>
        <v>0</v>
      </c>
      <c r="L268" s="234"/>
      <c r="M268" s="234"/>
      <c r="N268" s="234"/>
      <c r="O268" s="234"/>
      <c r="P268" s="234">
        <v>0</v>
      </c>
      <c r="Q268" s="235" t="s">
        <v>250</v>
      </c>
    </row>
    <row r="269" spans="2:17" ht="20.100000000000001" customHeight="1">
      <c r="B269" s="230">
        <f t="shared" si="5"/>
        <v>264</v>
      </c>
      <c r="C269" s="204">
        <f t="shared" si="5"/>
        <v>44094</v>
      </c>
      <c r="D269" s="228">
        <f ca="1">JAD</f>
        <v>0</v>
      </c>
      <c r="E269" s="228">
        <f ca="1">JAL</f>
        <v>0</v>
      </c>
      <c r="F269" s="234"/>
      <c r="G269" s="234"/>
      <c r="H269" s="228">
        <f ca="1">BD</f>
        <v>0</v>
      </c>
      <c r="I269" s="228">
        <f ca="1">BL</f>
        <v>0</v>
      </c>
      <c r="J269" s="228">
        <f ca="1">BSD</f>
        <v>0</v>
      </c>
      <c r="K269" s="228">
        <f ca="1">BSL</f>
        <v>0</v>
      </c>
      <c r="L269" s="234"/>
      <c r="M269" s="234"/>
      <c r="N269" s="234"/>
      <c r="O269" s="234"/>
      <c r="P269" s="234">
        <v>0</v>
      </c>
      <c r="Q269" s="235" t="s">
        <v>250</v>
      </c>
    </row>
    <row r="270" spans="2:17" ht="20.100000000000001" customHeight="1">
      <c r="B270" s="230">
        <f t="shared" si="5"/>
        <v>265</v>
      </c>
      <c r="C270" s="204">
        <f t="shared" si="5"/>
        <v>44095</v>
      </c>
      <c r="D270" s="228">
        <f ca="1">JAD</f>
        <v>0</v>
      </c>
      <c r="E270" s="228">
        <f ca="1">JAL</f>
        <v>0</v>
      </c>
      <c r="F270" s="234"/>
      <c r="G270" s="234"/>
      <c r="H270" s="228">
        <f ca="1">BD</f>
        <v>0</v>
      </c>
      <c r="I270" s="228">
        <f ca="1">BL</f>
        <v>0</v>
      </c>
      <c r="J270" s="228">
        <f ca="1">BSD</f>
        <v>0</v>
      </c>
      <c r="K270" s="228">
        <f ca="1">BSL</f>
        <v>0</v>
      </c>
      <c r="L270" s="234"/>
      <c r="M270" s="234"/>
      <c r="N270" s="234"/>
      <c r="O270" s="234"/>
      <c r="P270" s="234">
        <v>0</v>
      </c>
      <c r="Q270" s="235" t="s">
        <v>250</v>
      </c>
    </row>
    <row r="271" spans="2:17" ht="20.100000000000001" customHeight="1">
      <c r="B271" s="230">
        <f t="shared" si="5"/>
        <v>266</v>
      </c>
      <c r="C271" s="204">
        <f t="shared" si="5"/>
        <v>44096</v>
      </c>
      <c r="D271" s="228">
        <f ca="1">JAD</f>
        <v>0</v>
      </c>
      <c r="E271" s="228">
        <f ca="1">JAL</f>
        <v>0</v>
      </c>
      <c r="F271" s="234"/>
      <c r="G271" s="234"/>
      <c r="H271" s="228">
        <f ca="1">BD</f>
        <v>0</v>
      </c>
      <c r="I271" s="228">
        <f ca="1">BL</f>
        <v>0</v>
      </c>
      <c r="J271" s="228">
        <f ca="1">BSD</f>
        <v>0</v>
      </c>
      <c r="K271" s="228">
        <f ca="1">BSL</f>
        <v>0</v>
      </c>
      <c r="L271" s="234"/>
      <c r="M271" s="234"/>
      <c r="N271" s="234"/>
      <c r="O271" s="234"/>
      <c r="P271" s="234">
        <v>0</v>
      </c>
      <c r="Q271" s="235" t="s">
        <v>250</v>
      </c>
    </row>
    <row r="272" spans="2:17" ht="20.100000000000001" customHeight="1">
      <c r="B272" s="230">
        <f t="shared" si="5"/>
        <v>267</v>
      </c>
      <c r="C272" s="204">
        <f t="shared" si="5"/>
        <v>44097</v>
      </c>
      <c r="D272" s="228">
        <f ca="1">JAD</f>
        <v>0</v>
      </c>
      <c r="E272" s="228">
        <f ca="1">JAL</f>
        <v>0</v>
      </c>
      <c r="F272" s="234"/>
      <c r="G272" s="234"/>
      <c r="H272" s="228">
        <f ca="1">BD</f>
        <v>0</v>
      </c>
      <c r="I272" s="228">
        <f ca="1">BL</f>
        <v>0</v>
      </c>
      <c r="J272" s="228">
        <f ca="1">BSD</f>
        <v>0</v>
      </c>
      <c r="K272" s="228">
        <f ca="1">BSL</f>
        <v>0</v>
      </c>
      <c r="L272" s="234"/>
      <c r="M272" s="234"/>
      <c r="N272" s="234"/>
      <c r="O272" s="234"/>
      <c r="P272" s="234">
        <v>0</v>
      </c>
      <c r="Q272" s="235" t="s">
        <v>250</v>
      </c>
    </row>
    <row r="273" spans="2:17" ht="20.100000000000001" customHeight="1">
      <c r="B273" s="230">
        <f t="shared" si="5"/>
        <v>268</v>
      </c>
      <c r="C273" s="204">
        <f t="shared" si="5"/>
        <v>44098</v>
      </c>
      <c r="D273" s="228">
        <f ca="1">JAD</f>
        <v>0</v>
      </c>
      <c r="E273" s="228">
        <f ca="1">JAL</f>
        <v>0</v>
      </c>
      <c r="F273" s="234"/>
      <c r="G273" s="234"/>
      <c r="H273" s="228">
        <f ca="1">BD</f>
        <v>0</v>
      </c>
      <c r="I273" s="228">
        <f ca="1">BL</f>
        <v>0</v>
      </c>
      <c r="J273" s="228">
        <f ca="1">BSD</f>
        <v>0</v>
      </c>
      <c r="K273" s="228">
        <f ca="1">BSL</f>
        <v>0</v>
      </c>
      <c r="L273" s="234"/>
      <c r="M273" s="234"/>
      <c r="N273" s="234"/>
      <c r="O273" s="234"/>
      <c r="P273" s="234">
        <v>0</v>
      </c>
      <c r="Q273" s="235" t="s">
        <v>250</v>
      </c>
    </row>
    <row r="274" spans="2:17" ht="20.100000000000001" customHeight="1">
      <c r="B274" s="230">
        <f t="shared" si="5"/>
        <v>269</v>
      </c>
      <c r="C274" s="204">
        <f t="shared" si="5"/>
        <v>44099</v>
      </c>
      <c r="D274" s="228">
        <f ca="1">JAD</f>
        <v>0</v>
      </c>
      <c r="E274" s="228">
        <f ca="1">JAL</f>
        <v>0</v>
      </c>
      <c r="F274" s="234"/>
      <c r="G274" s="234"/>
      <c r="H274" s="228">
        <f ca="1">BD</f>
        <v>0</v>
      </c>
      <c r="I274" s="228">
        <f ca="1">BL</f>
        <v>0</v>
      </c>
      <c r="J274" s="228">
        <f ca="1">BSD</f>
        <v>0</v>
      </c>
      <c r="K274" s="228">
        <f ca="1">BSL</f>
        <v>0</v>
      </c>
      <c r="L274" s="234"/>
      <c r="M274" s="234"/>
      <c r="N274" s="234"/>
      <c r="O274" s="234"/>
      <c r="P274" s="234">
        <v>0</v>
      </c>
      <c r="Q274" s="235" t="s">
        <v>250</v>
      </c>
    </row>
    <row r="275" spans="2:17" ht="20.100000000000001" customHeight="1">
      <c r="B275" s="230">
        <f t="shared" si="5"/>
        <v>270</v>
      </c>
      <c r="C275" s="204">
        <f t="shared" si="5"/>
        <v>44100</v>
      </c>
      <c r="D275" s="228">
        <f ca="1">JAD</f>
        <v>0</v>
      </c>
      <c r="E275" s="228">
        <f ca="1">JAL</f>
        <v>0</v>
      </c>
      <c r="F275" s="234"/>
      <c r="G275" s="234"/>
      <c r="H275" s="228">
        <f ca="1">BD</f>
        <v>0</v>
      </c>
      <c r="I275" s="228">
        <f ca="1">BL</f>
        <v>0</v>
      </c>
      <c r="J275" s="228">
        <f ca="1">BSD</f>
        <v>0</v>
      </c>
      <c r="K275" s="228">
        <f ca="1">BSL</f>
        <v>0</v>
      </c>
      <c r="L275" s="234"/>
      <c r="M275" s="234"/>
      <c r="N275" s="234"/>
      <c r="O275" s="234"/>
      <c r="P275" s="234">
        <v>0</v>
      </c>
      <c r="Q275" s="235" t="s">
        <v>250</v>
      </c>
    </row>
    <row r="276" spans="2:17" ht="20.100000000000001" customHeight="1">
      <c r="B276" s="230">
        <f t="shared" si="5"/>
        <v>271</v>
      </c>
      <c r="C276" s="204">
        <f t="shared" si="5"/>
        <v>44101</v>
      </c>
      <c r="D276" s="228">
        <f ca="1">JAD</f>
        <v>0</v>
      </c>
      <c r="E276" s="228">
        <f ca="1">JAL</f>
        <v>0</v>
      </c>
      <c r="F276" s="234"/>
      <c r="G276" s="234"/>
      <c r="H276" s="228">
        <f ca="1">BD</f>
        <v>0</v>
      </c>
      <c r="I276" s="228">
        <f ca="1">BL</f>
        <v>0</v>
      </c>
      <c r="J276" s="228">
        <f ca="1">BSD</f>
        <v>0</v>
      </c>
      <c r="K276" s="228">
        <f ca="1">BSL</f>
        <v>0</v>
      </c>
      <c r="L276" s="234"/>
      <c r="M276" s="234"/>
      <c r="N276" s="234"/>
      <c r="O276" s="234"/>
      <c r="P276" s="234">
        <v>0</v>
      </c>
      <c r="Q276" s="235" t="s">
        <v>250</v>
      </c>
    </row>
    <row r="277" spans="2:17" ht="20.100000000000001" customHeight="1">
      <c r="B277" s="230">
        <f t="shared" si="5"/>
        <v>272</v>
      </c>
      <c r="C277" s="204">
        <f t="shared" si="5"/>
        <v>44102</v>
      </c>
      <c r="D277" s="228">
        <f ca="1">JAD</f>
        <v>0</v>
      </c>
      <c r="E277" s="228">
        <f ca="1">JAL</f>
        <v>0</v>
      </c>
      <c r="F277" s="234"/>
      <c r="G277" s="234"/>
      <c r="H277" s="228">
        <f ca="1">BD</f>
        <v>0</v>
      </c>
      <c r="I277" s="228">
        <f ca="1">BL</f>
        <v>0</v>
      </c>
      <c r="J277" s="228">
        <f ca="1">BSD</f>
        <v>0</v>
      </c>
      <c r="K277" s="228">
        <f ca="1">BSL</f>
        <v>0</v>
      </c>
      <c r="L277" s="234"/>
      <c r="M277" s="234"/>
      <c r="N277" s="234"/>
      <c r="O277" s="234"/>
      <c r="P277" s="234">
        <v>0</v>
      </c>
      <c r="Q277" s="235" t="s">
        <v>250</v>
      </c>
    </row>
    <row r="278" spans="2:17" ht="20.100000000000001" customHeight="1">
      <c r="B278" s="230">
        <f t="shared" si="5"/>
        <v>273</v>
      </c>
      <c r="C278" s="204">
        <f t="shared" si="5"/>
        <v>44103</v>
      </c>
      <c r="D278" s="228">
        <f ca="1">JAD</f>
        <v>0</v>
      </c>
      <c r="E278" s="228">
        <f ca="1">JAL</f>
        <v>0</v>
      </c>
      <c r="F278" s="234"/>
      <c r="G278" s="234"/>
      <c r="H278" s="228">
        <f ca="1">BD</f>
        <v>0</v>
      </c>
      <c r="I278" s="228">
        <f ca="1">BL</f>
        <v>0</v>
      </c>
      <c r="J278" s="228">
        <f ca="1">BSD</f>
        <v>0</v>
      </c>
      <c r="K278" s="228">
        <f ca="1">BSL</f>
        <v>0</v>
      </c>
      <c r="L278" s="234"/>
      <c r="M278" s="234"/>
      <c r="N278" s="234"/>
      <c r="O278" s="234"/>
      <c r="P278" s="234">
        <v>0</v>
      </c>
      <c r="Q278" s="235" t="s">
        <v>250</v>
      </c>
    </row>
    <row r="279" spans="2:17" ht="20.100000000000001" customHeight="1">
      <c r="B279" s="230">
        <f t="shared" si="5"/>
        <v>274</v>
      </c>
      <c r="C279" s="204">
        <f t="shared" si="5"/>
        <v>44104</v>
      </c>
      <c r="D279" s="228">
        <f ca="1">JAD</f>
        <v>0</v>
      </c>
      <c r="E279" s="228">
        <f ca="1">JAL</f>
        <v>0</v>
      </c>
      <c r="F279" s="234"/>
      <c r="G279" s="234"/>
      <c r="H279" s="228">
        <f ca="1">BD</f>
        <v>0</v>
      </c>
      <c r="I279" s="228">
        <f ca="1">BL</f>
        <v>0</v>
      </c>
      <c r="J279" s="228">
        <f ca="1">BSD</f>
        <v>0</v>
      </c>
      <c r="K279" s="228">
        <f ca="1">BSL</f>
        <v>0</v>
      </c>
      <c r="L279" s="234"/>
      <c r="M279" s="234"/>
      <c r="N279" s="234"/>
      <c r="O279" s="234"/>
      <c r="P279" s="234">
        <v>0</v>
      </c>
      <c r="Q279" s="235" t="s">
        <v>250</v>
      </c>
    </row>
    <row r="280" spans="2:17" ht="20.100000000000001" customHeight="1">
      <c r="B280" s="230">
        <f t="shared" si="5"/>
        <v>275</v>
      </c>
      <c r="C280" s="204">
        <f t="shared" si="5"/>
        <v>44105</v>
      </c>
      <c r="D280" s="228">
        <f ca="1">JAD</f>
        <v>0</v>
      </c>
      <c r="E280" s="228">
        <f ca="1">JAL</f>
        <v>0</v>
      </c>
      <c r="F280" s="234"/>
      <c r="G280" s="234"/>
      <c r="H280" s="228">
        <f ca="1">BD</f>
        <v>0</v>
      </c>
      <c r="I280" s="228">
        <f ca="1">BL</f>
        <v>0</v>
      </c>
      <c r="J280" s="228">
        <f ca="1">BSD</f>
        <v>0</v>
      </c>
      <c r="K280" s="228">
        <f ca="1">BSL</f>
        <v>0</v>
      </c>
      <c r="L280" s="234"/>
      <c r="M280" s="234"/>
      <c r="N280" s="234"/>
      <c r="O280" s="234"/>
      <c r="P280" s="234">
        <v>0</v>
      </c>
      <c r="Q280" s="235" t="s">
        <v>250</v>
      </c>
    </row>
    <row r="281" spans="2:17" ht="20.100000000000001" customHeight="1">
      <c r="B281" s="230">
        <f t="shared" si="5"/>
        <v>276</v>
      </c>
      <c r="C281" s="204">
        <f t="shared" si="5"/>
        <v>44106</v>
      </c>
      <c r="D281" s="228">
        <f ca="1">JAD</f>
        <v>0</v>
      </c>
      <c r="E281" s="228">
        <f ca="1">JAL</f>
        <v>0</v>
      </c>
      <c r="F281" s="234"/>
      <c r="G281" s="234"/>
      <c r="H281" s="228">
        <f ca="1">BD</f>
        <v>0</v>
      </c>
      <c r="I281" s="228">
        <f ca="1">BL</f>
        <v>0</v>
      </c>
      <c r="J281" s="228">
        <f ca="1">BSD</f>
        <v>0</v>
      </c>
      <c r="K281" s="228">
        <f ca="1">BSL</f>
        <v>0</v>
      </c>
      <c r="L281" s="234"/>
      <c r="M281" s="234"/>
      <c r="N281" s="234"/>
      <c r="O281" s="234"/>
      <c r="P281" s="234">
        <v>0</v>
      </c>
      <c r="Q281" s="235" t="s">
        <v>250</v>
      </c>
    </row>
    <row r="282" spans="2:17" ht="20.100000000000001" customHeight="1">
      <c r="B282" s="230">
        <f t="shared" si="5"/>
        <v>277</v>
      </c>
      <c r="C282" s="204">
        <f t="shared" si="5"/>
        <v>44107</v>
      </c>
      <c r="D282" s="228">
        <f ca="1">JAD</f>
        <v>0</v>
      </c>
      <c r="E282" s="228">
        <f ca="1">JAL</f>
        <v>0</v>
      </c>
      <c r="F282" s="234"/>
      <c r="G282" s="234"/>
      <c r="H282" s="228">
        <f ca="1">BD</f>
        <v>0</v>
      </c>
      <c r="I282" s="228">
        <f ca="1">BL</f>
        <v>0</v>
      </c>
      <c r="J282" s="228">
        <f ca="1">BSD</f>
        <v>0</v>
      </c>
      <c r="K282" s="228">
        <f ca="1">BSL</f>
        <v>0</v>
      </c>
      <c r="L282" s="234"/>
      <c r="M282" s="234"/>
      <c r="N282" s="234"/>
      <c r="O282" s="234"/>
      <c r="P282" s="234">
        <v>0</v>
      </c>
      <c r="Q282" s="235" t="s">
        <v>250</v>
      </c>
    </row>
    <row r="283" spans="2:17" ht="20.100000000000001" customHeight="1">
      <c r="B283" s="230">
        <f t="shared" si="5"/>
        <v>278</v>
      </c>
      <c r="C283" s="204">
        <f t="shared" si="5"/>
        <v>44108</v>
      </c>
      <c r="D283" s="228">
        <f ca="1">JAD</f>
        <v>0</v>
      </c>
      <c r="E283" s="228">
        <f ca="1">JAL</f>
        <v>0</v>
      </c>
      <c r="F283" s="234"/>
      <c r="G283" s="234"/>
      <c r="H283" s="228">
        <f ca="1">BD</f>
        <v>0</v>
      </c>
      <c r="I283" s="228">
        <f ca="1">BL</f>
        <v>0</v>
      </c>
      <c r="J283" s="228">
        <f ca="1">BSD</f>
        <v>0</v>
      </c>
      <c r="K283" s="228">
        <f ca="1">BSL</f>
        <v>0</v>
      </c>
      <c r="L283" s="234"/>
      <c r="M283" s="234"/>
      <c r="N283" s="234"/>
      <c r="O283" s="234"/>
      <c r="P283" s="234">
        <v>0</v>
      </c>
      <c r="Q283" s="235" t="s">
        <v>250</v>
      </c>
    </row>
    <row r="284" spans="2:17" ht="20.100000000000001" customHeight="1">
      <c r="B284" s="230">
        <f t="shared" si="5"/>
        <v>279</v>
      </c>
      <c r="C284" s="204">
        <f t="shared" si="5"/>
        <v>44109</v>
      </c>
      <c r="D284" s="228">
        <f ca="1">JAD</f>
        <v>0</v>
      </c>
      <c r="E284" s="228">
        <f ca="1">JAL</f>
        <v>0</v>
      </c>
      <c r="F284" s="234"/>
      <c r="G284" s="234"/>
      <c r="H284" s="228">
        <f ca="1">BD</f>
        <v>0</v>
      </c>
      <c r="I284" s="228">
        <f ca="1">BL</f>
        <v>0</v>
      </c>
      <c r="J284" s="228">
        <f ca="1">BSD</f>
        <v>0</v>
      </c>
      <c r="K284" s="228">
        <f ca="1">BSL</f>
        <v>0</v>
      </c>
      <c r="L284" s="234"/>
      <c r="M284" s="234"/>
      <c r="N284" s="234"/>
      <c r="O284" s="234"/>
      <c r="P284" s="234">
        <v>0</v>
      </c>
      <c r="Q284" s="235" t="s">
        <v>250</v>
      </c>
    </row>
    <row r="285" spans="2:17" ht="20.100000000000001" customHeight="1">
      <c r="B285" s="230">
        <f t="shared" si="5"/>
        <v>280</v>
      </c>
      <c r="C285" s="204">
        <f t="shared" si="5"/>
        <v>44110</v>
      </c>
      <c r="D285" s="228">
        <f ca="1">JAD</f>
        <v>0</v>
      </c>
      <c r="E285" s="228">
        <f ca="1">JAL</f>
        <v>0</v>
      </c>
      <c r="F285" s="234"/>
      <c r="G285" s="234"/>
      <c r="H285" s="228">
        <f ca="1">BD</f>
        <v>0</v>
      </c>
      <c r="I285" s="228">
        <f ca="1">BL</f>
        <v>0</v>
      </c>
      <c r="J285" s="228">
        <f ca="1">BSD</f>
        <v>0</v>
      </c>
      <c r="K285" s="228">
        <f ca="1">BSL</f>
        <v>0</v>
      </c>
      <c r="L285" s="234"/>
      <c r="M285" s="234"/>
      <c r="N285" s="234"/>
      <c r="O285" s="234"/>
      <c r="P285" s="234">
        <v>0</v>
      </c>
      <c r="Q285" s="235" t="s">
        <v>250</v>
      </c>
    </row>
    <row r="286" spans="2:17" ht="20.100000000000001" customHeight="1">
      <c r="B286" s="230">
        <f t="shared" si="5"/>
        <v>281</v>
      </c>
      <c r="C286" s="204">
        <f t="shared" si="5"/>
        <v>44111</v>
      </c>
      <c r="D286" s="228">
        <f ca="1">JAD</f>
        <v>0</v>
      </c>
      <c r="E286" s="228">
        <f ca="1">JAL</f>
        <v>0</v>
      </c>
      <c r="F286" s="234"/>
      <c r="G286" s="234"/>
      <c r="H286" s="228">
        <f ca="1">BD</f>
        <v>0</v>
      </c>
      <c r="I286" s="228">
        <f ca="1">BL</f>
        <v>0</v>
      </c>
      <c r="J286" s="228">
        <f ca="1">BSD</f>
        <v>0</v>
      </c>
      <c r="K286" s="228">
        <f ca="1">BSL</f>
        <v>0</v>
      </c>
      <c r="L286" s="234"/>
      <c r="M286" s="234"/>
      <c r="N286" s="234"/>
      <c r="O286" s="234"/>
      <c r="P286" s="234">
        <v>0</v>
      </c>
      <c r="Q286" s="235" t="s">
        <v>250</v>
      </c>
    </row>
    <row r="287" spans="2:17" ht="20.100000000000001" customHeight="1">
      <c r="B287" s="230">
        <f t="shared" si="5"/>
        <v>282</v>
      </c>
      <c r="C287" s="204">
        <f t="shared" si="5"/>
        <v>44112</v>
      </c>
      <c r="D287" s="228">
        <f ca="1">JAD</f>
        <v>0</v>
      </c>
      <c r="E287" s="228">
        <f ca="1">JAL</f>
        <v>0</v>
      </c>
      <c r="F287" s="234"/>
      <c r="G287" s="234"/>
      <c r="H287" s="228">
        <f ca="1">BD</f>
        <v>0</v>
      </c>
      <c r="I287" s="228">
        <f ca="1">BL</f>
        <v>0</v>
      </c>
      <c r="J287" s="228">
        <f ca="1">BSD</f>
        <v>0</v>
      </c>
      <c r="K287" s="228">
        <f ca="1">BSL</f>
        <v>0</v>
      </c>
      <c r="L287" s="234"/>
      <c r="M287" s="234"/>
      <c r="N287" s="234"/>
      <c r="O287" s="234"/>
      <c r="P287" s="234">
        <v>0</v>
      </c>
      <c r="Q287" s="235" t="s">
        <v>250</v>
      </c>
    </row>
    <row r="288" spans="2:17" ht="20.100000000000001" customHeight="1">
      <c r="B288" s="230">
        <f t="shared" si="5"/>
        <v>283</v>
      </c>
      <c r="C288" s="204">
        <f t="shared" si="5"/>
        <v>44113</v>
      </c>
      <c r="D288" s="228">
        <f ca="1">JAD</f>
        <v>0</v>
      </c>
      <c r="E288" s="228">
        <f ca="1">JAL</f>
        <v>0</v>
      </c>
      <c r="F288" s="234"/>
      <c r="G288" s="234"/>
      <c r="H288" s="228">
        <f ca="1">BD</f>
        <v>0</v>
      </c>
      <c r="I288" s="228">
        <f ca="1">BL</f>
        <v>0</v>
      </c>
      <c r="J288" s="228">
        <f ca="1">BSD</f>
        <v>0</v>
      </c>
      <c r="K288" s="228">
        <f ca="1">BSL</f>
        <v>0</v>
      </c>
      <c r="L288" s="234"/>
      <c r="M288" s="234"/>
      <c r="N288" s="234"/>
      <c r="O288" s="234"/>
      <c r="P288" s="234">
        <v>0</v>
      </c>
      <c r="Q288" s="235" t="s">
        <v>250</v>
      </c>
    </row>
    <row r="289" spans="2:17" ht="20.100000000000001" customHeight="1">
      <c r="B289" s="230">
        <f t="shared" si="5"/>
        <v>284</v>
      </c>
      <c r="C289" s="204">
        <f t="shared" si="5"/>
        <v>44114</v>
      </c>
      <c r="D289" s="228">
        <f ca="1">JAD</f>
        <v>0</v>
      </c>
      <c r="E289" s="228">
        <f ca="1">JAL</f>
        <v>0</v>
      </c>
      <c r="F289" s="234"/>
      <c r="G289" s="234"/>
      <c r="H289" s="228">
        <f ca="1">BD</f>
        <v>0</v>
      </c>
      <c r="I289" s="228">
        <f ca="1">BL</f>
        <v>0</v>
      </c>
      <c r="J289" s="228">
        <f ca="1">BSD</f>
        <v>0</v>
      </c>
      <c r="K289" s="228">
        <f ca="1">BSL</f>
        <v>0</v>
      </c>
      <c r="L289" s="234"/>
      <c r="M289" s="234"/>
      <c r="N289" s="234"/>
      <c r="O289" s="234"/>
      <c r="P289" s="234">
        <v>0</v>
      </c>
      <c r="Q289" s="235" t="s">
        <v>250</v>
      </c>
    </row>
    <row r="290" spans="2:17" ht="20.100000000000001" customHeight="1">
      <c r="B290" s="230">
        <f t="shared" si="5"/>
        <v>285</v>
      </c>
      <c r="C290" s="204">
        <f t="shared" si="5"/>
        <v>44115</v>
      </c>
      <c r="D290" s="228">
        <f ca="1">JAD</f>
        <v>0</v>
      </c>
      <c r="E290" s="228">
        <f ca="1">JAL</f>
        <v>0</v>
      </c>
      <c r="F290" s="234"/>
      <c r="G290" s="234"/>
      <c r="H290" s="228">
        <f ca="1">BD</f>
        <v>0</v>
      </c>
      <c r="I290" s="228">
        <f ca="1">BL</f>
        <v>0</v>
      </c>
      <c r="J290" s="228">
        <f ca="1">BSD</f>
        <v>0</v>
      </c>
      <c r="K290" s="228">
        <f ca="1">BSL</f>
        <v>0</v>
      </c>
      <c r="L290" s="234"/>
      <c r="M290" s="234"/>
      <c r="N290" s="234"/>
      <c r="O290" s="234"/>
      <c r="P290" s="234">
        <v>0</v>
      </c>
      <c r="Q290" s="235" t="s">
        <v>250</v>
      </c>
    </row>
    <row r="291" spans="2:17" ht="20.100000000000001" customHeight="1">
      <c r="B291" s="230">
        <f t="shared" si="5"/>
        <v>286</v>
      </c>
      <c r="C291" s="204">
        <f t="shared" si="5"/>
        <v>44116</v>
      </c>
      <c r="D291" s="228">
        <f ca="1">JAD</f>
        <v>0</v>
      </c>
      <c r="E291" s="228">
        <f ca="1">JAL</f>
        <v>0</v>
      </c>
      <c r="F291" s="234"/>
      <c r="G291" s="234"/>
      <c r="H291" s="228">
        <f ca="1">BD</f>
        <v>0</v>
      </c>
      <c r="I291" s="228">
        <f ca="1">BL</f>
        <v>0</v>
      </c>
      <c r="J291" s="228">
        <f ca="1">BSD</f>
        <v>0</v>
      </c>
      <c r="K291" s="228">
        <f ca="1">BSL</f>
        <v>0</v>
      </c>
      <c r="L291" s="234"/>
      <c r="M291" s="234"/>
      <c r="N291" s="234"/>
      <c r="O291" s="234"/>
      <c r="P291" s="234">
        <v>0</v>
      </c>
      <c r="Q291" s="235" t="s">
        <v>250</v>
      </c>
    </row>
    <row r="292" spans="2:17" ht="20.100000000000001" customHeight="1">
      <c r="B292" s="230">
        <f t="shared" si="5"/>
        <v>287</v>
      </c>
      <c r="C292" s="204">
        <f t="shared" si="5"/>
        <v>44117</v>
      </c>
      <c r="D292" s="228">
        <f ca="1">JAD</f>
        <v>0</v>
      </c>
      <c r="E292" s="228">
        <f ca="1">JAL</f>
        <v>0</v>
      </c>
      <c r="F292" s="234"/>
      <c r="G292" s="234"/>
      <c r="H292" s="228">
        <f ca="1">BD</f>
        <v>0</v>
      </c>
      <c r="I292" s="228">
        <f ca="1">BL</f>
        <v>0</v>
      </c>
      <c r="J292" s="228">
        <f ca="1">BSD</f>
        <v>0</v>
      </c>
      <c r="K292" s="228">
        <f ca="1">BSL</f>
        <v>0</v>
      </c>
      <c r="L292" s="234"/>
      <c r="M292" s="234"/>
      <c r="N292" s="234"/>
      <c r="O292" s="234"/>
      <c r="P292" s="234">
        <v>0</v>
      </c>
      <c r="Q292" s="235" t="s">
        <v>250</v>
      </c>
    </row>
    <row r="293" spans="2:17" ht="20.100000000000001" customHeight="1">
      <c r="B293" s="230">
        <f t="shared" si="5"/>
        <v>288</v>
      </c>
      <c r="C293" s="204">
        <f t="shared" si="5"/>
        <v>44118</v>
      </c>
      <c r="D293" s="228">
        <f ca="1">JAD</f>
        <v>0</v>
      </c>
      <c r="E293" s="228">
        <f ca="1">JAL</f>
        <v>0</v>
      </c>
      <c r="F293" s="234"/>
      <c r="G293" s="234"/>
      <c r="H293" s="228">
        <f ca="1">BD</f>
        <v>0</v>
      </c>
      <c r="I293" s="228">
        <f ca="1">BL</f>
        <v>0</v>
      </c>
      <c r="J293" s="228">
        <f ca="1">BSD</f>
        <v>0</v>
      </c>
      <c r="K293" s="228">
        <f ca="1">BSL</f>
        <v>0</v>
      </c>
      <c r="L293" s="234"/>
      <c r="M293" s="234"/>
      <c r="N293" s="234"/>
      <c r="O293" s="234"/>
      <c r="P293" s="234">
        <v>0</v>
      </c>
      <c r="Q293" s="235" t="s">
        <v>250</v>
      </c>
    </row>
    <row r="294" spans="2:17" ht="20.100000000000001" customHeight="1">
      <c r="B294" s="230">
        <f t="shared" si="5"/>
        <v>289</v>
      </c>
      <c r="C294" s="204">
        <f t="shared" si="5"/>
        <v>44119</v>
      </c>
      <c r="D294" s="228">
        <f ca="1">JAD</f>
        <v>0</v>
      </c>
      <c r="E294" s="228">
        <f ca="1">JAL</f>
        <v>0</v>
      </c>
      <c r="F294" s="234"/>
      <c r="G294" s="234"/>
      <c r="H294" s="228">
        <f ca="1">BD</f>
        <v>0</v>
      </c>
      <c r="I294" s="228">
        <f ca="1">BL</f>
        <v>0</v>
      </c>
      <c r="J294" s="228">
        <f ca="1">BSD</f>
        <v>0</v>
      </c>
      <c r="K294" s="228">
        <f ca="1">BSL</f>
        <v>0</v>
      </c>
      <c r="L294" s="234"/>
      <c r="M294" s="234"/>
      <c r="N294" s="234"/>
      <c r="O294" s="234"/>
      <c r="P294" s="234">
        <v>0</v>
      </c>
      <c r="Q294" s="235" t="s">
        <v>250</v>
      </c>
    </row>
    <row r="295" spans="2:17" ht="20.100000000000001" customHeight="1">
      <c r="B295" s="230">
        <f t="shared" si="5"/>
        <v>290</v>
      </c>
      <c r="C295" s="204">
        <f t="shared" si="5"/>
        <v>44120</v>
      </c>
      <c r="D295" s="228">
        <f ca="1">JAD</f>
        <v>0</v>
      </c>
      <c r="E295" s="228">
        <f ca="1">JAL</f>
        <v>0</v>
      </c>
      <c r="F295" s="234"/>
      <c r="G295" s="234"/>
      <c r="H295" s="228">
        <f ca="1">BD</f>
        <v>0</v>
      </c>
      <c r="I295" s="228">
        <f ca="1">BL</f>
        <v>0</v>
      </c>
      <c r="J295" s="228">
        <f ca="1">BSD</f>
        <v>0</v>
      </c>
      <c r="K295" s="228">
        <f ca="1">BSL</f>
        <v>0</v>
      </c>
      <c r="L295" s="234"/>
      <c r="M295" s="234"/>
      <c r="N295" s="234"/>
      <c r="O295" s="234"/>
      <c r="P295" s="234">
        <v>0</v>
      </c>
      <c r="Q295" s="235" t="s">
        <v>250</v>
      </c>
    </row>
    <row r="296" spans="2:17" ht="20.100000000000001" customHeight="1">
      <c r="B296" s="230">
        <f t="shared" si="5"/>
        <v>291</v>
      </c>
      <c r="C296" s="204">
        <f t="shared" si="5"/>
        <v>44121</v>
      </c>
      <c r="D296" s="228">
        <f ca="1">JAD</f>
        <v>0</v>
      </c>
      <c r="E296" s="228">
        <f ca="1">JAL</f>
        <v>0</v>
      </c>
      <c r="F296" s="234"/>
      <c r="G296" s="234"/>
      <c r="H296" s="228">
        <f ca="1">BD</f>
        <v>0</v>
      </c>
      <c r="I296" s="228">
        <f ca="1">BL</f>
        <v>0</v>
      </c>
      <c r="J296" s="228">
        <f ca="1">BSD</f>
        <v>0</v>
      </c>
      <c r="K296" s="228">
        <f ca="1">BSL</f>
        <v>0</v>
      </c>
      <c r="L296" s="234"/>
      <c r="M296" s="234"/>
      <c r="N296" s="234"/>
      <c r="O296" s="234"/>
      <c r="P296" s="234">
        <v>0</v>
      </c>
      <c r="Q296" s="235" t="s">
        <v>250</v>
      </c>
    </row>
    <row r="297" spans="2:17" ht="20.100000000000001" customHeight="1">
      <c r="B297" s="230">
        <f t="shared" si="5"/>
        <v>292</v>
      </c>
      <c r="C297" s="204">
        <f t="shared" si="5"/>
        <v>44122</v>
      </c>
      <c r="D297" s="228">
        <f ca="1">JAD</f>
        <v>0</v>
      </c>
      <c r="E297" s="228">
        <f ca="1">JAL</f>
        <v>0</v>
      </c>
      <c r="F297" s="234"/>
      <c r="G297" s="234"/>
      <c r="H297" s="228">
        <f ca="1">BD</f>
        <v>0</v>
      </c>
      <c r="I297" s="228">
        <f ca="1">BL</f>
        <v>0</v>
      </c>
      <c r="J297" s="228">
        <f ca="1">BSD</f>
        <v>0</v>
      </c>
      <c r="K297" s="228">
        <f ca="1">BSL</f>
        <v>0</v>
      </c>
      <c r="L297" s="234"/>
      <c r="M297" s="234"/>
      <c r="N297" s="234"/>
      <c r="O297" s="234"/>
      <c r="P297" s="234">
        <v>0</v>
      </c>
      <c r="Q297" s="235" t="s">
        <v>250</v>
      </c>
    </row>
    <row r="298" spans="2:17" ht="20.100000000000001" customHeight="1">
      <c r="B298" s="230">
        <f t="shared" si="5"/>
        <v>293</v>
      </c>
      <c r="C298" s="204">
        <f t="shared" si="5"/>
        <v>44123</v>
      </c>
      <c r="D298" s="228">
        <f ca="1">JAD</f>
        <v>0</v>
      </c>
      <c r="E298" s="228">
        <f ca="1">JAL</f>
        <v>0</v>
      </c>
      <c r="F298" s="234"/>
      <c r="G298" s="234"/>
      <c r="H298" s="228">
        <f ca="1">BD</f>
        <v>0</v>
      </c>
      <c r="I298" s="228">
        <f ca="1">BL</f>
        <v>0</v>
      </c>
      <c r="J298" s="228">
        <f ca="1">BSD</f>
        <v>0</v>
      </c>
      <c r="K298" s="228">
        <f ca="1">BSL</f>
        <v>0</v>
      </c>
      <c r="L298" s="234"/>
      <c r="M298" s="234"/>
      <c r="N298" s="234"/>
      <c r="O298" s="234"/>
      <c r="P298" s="234">
        <v>0</v>
      </c>
      <c r="Q298" s="235" t="s">
        <v>250</v>
      </c>
    </row>
    <row r="299" spans="2:17" ht="20.100000000000001" customHeight="1">
      <c r="B299" s="230">
        <f t="shared" si="5"/>
        <v>294</v>
      </c>
      <c r="C299" s="204">
        <f t="shared" si="5"/>
        <v>44124</v>
      </c>
      <c r="D299" s="228">
        <f ca="1">JAD</f>
        <v>0</v>
      </c>
      <c r="E299" s="228">
        <f ca="1">JAL</f>
        <v>0</v>
      </c>
      <c r="F299" s="234"/>
      <c r="G299" s="234"/>
      <c r="H299" s="228">
        <f ca="1">BD</f>
        <v>0</v>
      </c>
      <c r="I299" s="228">
        <f ca="1">BL</f>
        <v>0</v>
      </c>
      <c r="J299" s="228">
        <f ca="1">BSD</f>
        <v>0</v>
      </c>
      <c r="K299" s="228">
        <f ca="1">BSL</f>
        <v>0</v>
      </c>
      <c r="L299" s="234"/>
      <c r="M299" s="234"/>
      <c r="N299" s="234"/>
      <c r="O299" s="234"/>
      <c r="P299" s="234">
        <v>0</v>
      </c>
      <c r="Q299" s="235" t="s">
        <v>250</v>
      </c>
    </row>
    <row r="300" spans="2:17" ht="20.100000000000001" customHeight="1">
      <c r="B300" s="230">
        <f t="shared" si="5"/>
        <v>295</v>
      </c>
      <c r="C300" s="204">
        <f t="shared" si="5"/>
        <v>44125</v>
      </c>
      <c r="D300" s="228">
        <f ca="1">JAD</f>
        <v>0</v>
      </c>
      <c r="E300" s="228">
        <f ca="1">JAL</f>
        <v>0</v>
      </c>
      <c r="F300" s="234"/>
      <c r="G300" s="234"/>
      <c r="H300" s="228">
        <f ca="1">BD</f>
        <v>0</v>
      </c>
      <c r="I300" s="228">
        <f ca="1">BL</f>
        <v>0</v>
      </c>
      <c r="J300" s="228">
        <f ca="1">BSD</f>
        <v>0</v>
      </c>
      <c r="K300" s="228">
        <f ca="1">BSL</f>
        <v>0</v>
      </c>
      <c r="L300" s="234"/>
      <c r="M300" s="234"/>
      <c r="N300" s="234"/>
      <c r="O300" s="234"/>
      <c r="P300" s="234">
        <v>0</v>
      </c>
      <c r="Q300" s="235" t="s">
        <v>250</v>
      </c>
    </row>
    <row r="301" spans="2:17" ht="20.100000000000001" customHeight="1">
      <c r="B301" s="230">
        <f t="shared" si="5"/>
        <v>296</v>
      </c>
      <c r="C301" s="204">
        <f t="shared" si="5"/>
        <v>44126</v>
      </c>
      <c r="D301" s="228">
        <f ca="1">JAD</f>
        <v>0</v>
      </c>
      <c r="E301" s="228">
        <f ca="1">JAL</f>
        <v>0</v>
      </c>
      <c r="F301" s="234"/>
      <c r="G301" s="234"/>
      <c r="H301" s="228">
        <f ca="1">BD</f>
        <v>0</v>
      </c>
      <c r="I301" s="228">
        <f ca="1">BL</f>
        <v>0</v>
      </c>
      <c r="J301" s="228">
        <f ca="1">BSD</f>
        <v>0</v>
      </c>
      <c r="K301" s="228">
        <f ca="1">BSL</f>
        <v>0</v>
      </c>
      <c r="L301" s="234"/>
      <c r="M301" s="234"/>
      <c r="N301" s="234"/>
      <c r="O301" s="234"/>
      <c r="P301" s="234">
        <v>0</v>
      </c>
      <c r="Q301" s="235" t="s">
        <v>250</v>
      </c>
    </row>
    <row r="302" spans="2:17" ht="20.100000000000001" customHeight="1">
      <c r="B302" s="230">
        <f t="shared" si="5"/>
        <v>297</v>
      </c>
      <c r="C302" s="204">
        <f t="shared" si="5"/>
        <v>44127</v>
      </c>
      <c r="D302" s="228">
        <f ca="1">JAD</f>
        <v>0</v>
      </c>
      <c r="E302" s="228">
        <f ca="1">JAL</f>
        <v>0</v>
      </c>
      <c r="F302" s="234"/>
      <c r="G302" s="234"/>
      <c r="H302" s="228">
        <f ca="1">BD</f>
        <v>0</v>
      </c>
      <c r="I302" s="228">
        <f ca="1">BL</f>
        <v>0</v>
      </c>
      <c r="J302" s="228">
        <f ca="1">BSD</f>
        <v>0</v>
      </c>
      <c r="K302" s="228">
        <f ca="1">BSL</f>
        <v>0</v>
      </c>
      <c r="L302" s="234"/>
      <c r="M302" s="234"/>
      <c r="N302" s="234"/>
      <c r="O302" s="234"/>
      <c r="P302" s="234">
        <v>0</v>
      </c>
      <c r="Q302" s="235" t="s">
        <v>250</v>
      </c>
    </row>
    <row r="303" spans="2:17" ht="20.100000000000001" customHeight="1">
      <c r="B303" s="230">
        <f t="shared" si="5"/>
        <v>298</v>
      </c>
      <c r="C303" s="204">
        <f t="shared" si="5"/>
        <v>44128</v>
      </c>
      <c r="D303" s="228">
        <f ca="1">JAD</f>
        <v>0</v>
      </c>
      <c r="E303" s="228">
        <f ca="1">JAL</f>
        <v>0</v>
      </c>
      <c r="F303" s="234"/>
      <c r="G303" s="234"/>
      <c r="H303" s="228">
        <f ca="1">BD</f>
        <v>0</v>
      </c>
      <c r="I303" s="228">
        <f ca="1">BL</f>
        <v>0</v>
      </c>
      <c r="J303" s="228">
        <f ca="1">BSD</f>
        <v>0</v>
      </c>
      <c r="K303" s="228">
        <f ca="1">BSL</f>
        <v>0</v>
      </c>
      <c r="L303" s="234"/>
      <c r="M303" s="234"/>
      <c r="N303" s="234"/>
      <c r="O303" s="234"/>
      <c r="P303" s="234">
        <v>0</v>
      </c>
      <c r="Q303" s="235" t="s">
        <v>250</v>
      </c>
    </row>
    <row r="304" spans="2:17" ht="20.100000000000001" customHeight="1">
      <c r="B304" s="230">
        <f t="shared" si="5"/>
        <v>299</v>
      </c>
      <c r="C304" s="204">
        <f t="shared" si="5"/>
        <v>44129</v>
      </c>
      <c r="D304" s="228">
        <f ca="1">JAD</f>
        <v>0</v>
      </c>
      <c r="E304" s="228">
        <f ca="1">JAL</f>
        <v>0</v>
      </c>
      <c r="F304" s="234"/>
      <c r="G304" s="234"/>
      <c r="H304" s="228">
        <f ca="1">BD</f>
        <v>0</v>
      </c>
      <c r="I304" s="228">
        <f ca="1">BL</f>
        <v>0</v>
      </c>
      <c r="J304" s="228">
        <f ca="1">BSD</f>
        <v>0</v>
      </c>
      <c r="K304" s="228">
        <f ca="1">BSL</f>
        <v>0</v>
      </c>
      <c r="L304" s="234"/>
      <c r="M304" s="234"/>
      <c r="N304" s="234"/>
      <c r="O304" s="234"/>
      <c r="P304" s="234">
        <v>0</v>
      </c>
      <c r="Q304" s="235" t="s">
        <v>250</v>
      </c>
    </row>
    <row r="305" spans="2:17" ht="20.100000000000001" customHeight="1">
      <c r="B305" s="230">
        <f t="shared" si="5"/>
        <v>300</v>
      </c>
      <c r="C305" s="204">
        <f t="shared" si="5"/>
        <v>44130</v>
      </c>
      <c r="D305" s="228">
        <f ca="1">JAD</f>
        <v>0</v>
      </c>
      <c r="E305" s="228">
        <f ca="1">JAL</f>
        <v>0</v>
      </c>
      <c r="F305" s="234"/>
      <c r="G305" s="234"/>
      <c r="H305" s="228">
        <f ca="1">BD</f>
        <v>0</v>
      </c>
      <c r="I305" s="228">
        <f ca="1">BL</f>
        <v>0</v>
      </c>
      <c r="J305" s="228">
        <f ca="1">BSD</f>
        <v>0</v>
      </c>
      <c r="K305" s="228">
        <f ca="1">BSL</f>
        <v>0</v>
      </c>
      <c r="L305" s="234"/>
      <c r="M305" s="234"/>
      <c r="N305" s="234"/>
      <c r="O305" s="234"/>
      <c r="P305" s="234">
        <v>0</v>
      </c>
      <c r="Q305" s="235" t="s">
        <v>250</v>
      </c>
    </row>
    <row r="306" spans="2:17" ht="20.100000000000001" customHeight="1">
      <c r="B306" s="230">
        <f t="shared" si="5"/>
        <v>301</v>
      </c>
      <c r="C306" s="204">
        <f t="shared" si="5"/>
        <v>44131</v>
      </c>
      <c r="D306" s="228">
        <f ca="1">JAD</f>
        <v>0</v>
      </c>
      <c r="E306" s="228">
        <f ca="1">JAL</f>
        <v>0</v>
      </c>
      <c r="F306" s="234"/>
      <c r="G306" s="234"/>
      <c r="H306" s="228">
        <f ca="1">BD</f>
        <v>0</v>
      </c>
      <c r="I306" s="228">
        <f ca="1">BL</f>
        <v>0</v>
      </c>
      <c r="J306" s="228">
        <f ca="1">BSD</f>
        <v>0</v>
      </c>
      <c r="K306" s="228">
        <f ca="1">BSL</f>
        <v>0</v>
      </c>
      <c r="L306" s="234"/>
      <c r="M306" s="234"/>
      <c r="N306" s="234"/>
      <c r="O306" s="234"/>
      <c r="P306" s="234">
        <v>0</v>
      </c>
      <c r="Q306" s="235" t="s">
        <v>250</v>
      </c>
    </row>
    <row r="307" spans="2:17" ht="20.100000000000001" customHeight="1">
      <c r="B307" s="230">
        <f t="shared" si="5"/>
        <v>302</v>
      </c>
      <c r="C307" s="204">
        <f t="shared" si="5"/>
        <v>44132</v>
      </c>
      <c r="D307" s="228">
        <f ca="1">JAD</f>
        <v>0</v>
      </c>
      <c r="E307" s="228">
        <f ca="1">JAL</f>
        <v>0</v>
      </c>
      <c r="F307" s="234"/>
      <c r="G307" s="234"/>
      <c r="H307" s="228">
        <f ca="1">BD</f>
        <v>0</v>
      </c>
      <c r="I307" s="228">
        <f ca="1">BL</f>
        <v>0</v>
      </c>
      <c r="J307" s="228">
        <f ca="1">BSD</f>
        <v>0</v>
      </c>
      <c r="K307" s="228">
        <f ca="1">BSL</f>
        <v>0</v>
      </c>
      <c r="L307" s="234"/>
      <c r="M307" s="234"/>
      <c r="N307" s="234"/>
      <c r="O307" s="234"/>
      <c r="P307" s="234">
        <v>0</v>
      </c>
      <c r="Q307" s="235" t="s">
        <v>250</v>
      </c>
    </row>
    <row r="308" spans="2:17" ht="20.100000000000001" customHeight="1">
      <c r="B308" s="230">
        <f t="shared" si="5"/>
        <v>303</v>
      </c>
      <c r="C308" s="204">
        <f t="shared" si="5"/>
        <v>44133</v>
      </c>
      <c r="D308" s="228">
        <f ca="1">JAD</f>
        <v>0</v>
      </c>
      <c r="E308" s="228">
        <f ca="1">JAL</f>
        <v>0</v>
      </c>
      <c r="F308" s="234"/>
      <c r="G308" s="234"/>
      <c r="H308" s="228">
        <f ca="1">BD</f>
        <v>0</v>
      </c>
      <c r="I308" s="228">
        <f ca="1">BL</f>
        <v>0</v>
      </c>
      <c r="J308" s="228">
        <f ca="1">BSD</f>
        <v>0</v>
      </c>
      <c r="K308" s="228">
        <f ca="1">BSL</f>
        <v>0</v>
      </c>
      <c r="L308" s="234"/>
      <c r="M308" s="234"/>
      <c r="N308" s="234"/>
      <c r="O308" s="234"/>
      <c r="P308" s="234">
        <v>0</v>
      </c>
      <c r="Q308" s="235" t="s">
        <v>250</v>
      </c>
    </row>
    <row r="309" spans="2:17" ht="20.100000000000001" customHeight="1">
      <c r="B309" s="230">
        <f t="shared" si="5"/>
        <v>304</v>
      </c>
      <c r="C309" s="204">
        <f t="shared" si="5"/>
        <v>44134</v>
      </c>
      <c r="D309" s="228">
        <f ca="1">JAD</f>
        <v>0</v>
      </c>
      <c r="E309" s="228">
        <f ca="1">JAL</f>
        <v>0</v>
      </c>
      <c r="F309" s="234"/>
      <c r="G309" s="234"/>
      <c r="H309" s="228">
        <f ca="1">BD</f>
        <v>0</v>
      </c>
      <c r="I309" s="228">
        <f ca="1">BL</f>
        <v>0</v>
      </c>
      <c r="J309" s="228">
        <f ca="1">BSD</f>
        <v>0</v>
      </c>
      <c r="K309" s="228">
        <f ca="1">BSL</f>
        <v>0</v>
      </c>
      <c r="L309" s="234"/>
      <c r="M309" s="234"/>
      <c r="N309" s="234"/>
      <c r="O309" s="234"/>
      <c r="P309" s="234">
        <v>0</v>
      </c>
      <c r="Q309" s="235" t="s">
        <v>250</v>
      </c>
    </row>
    <row r="310" spans="2:17" ht="20.100000000000001" customHeight="1">
      <c r="B310" s="230">
        <f t="shared" si="5"/>
        <v>305</v>
      </c>
      <c r="C310" s="204">
        <f t="shared" si="5"/>
        <v>44135</v>
      </c>
      <c r="D310" s="228">
        <f ca="1">JAD</f>
        <v>0</v>
      </c>
      <c r="E310" s="228">
        <f ca="1">JAL</f>
        <v>0</v>
      </c>
      <c r="F310" s="234"/>
      <c r="G310" s="234"/>
      <c r="H310" s="228">
        <f ca="1">BD</f>
        <v>0</v>
      </c>
      <c r="I310" s="228">
        <f ca="1">BL</f>
        <v>0</v>
      </c>
      <c r="J310" s="228">
        <f ca="1">BSD</f>
        <v>0</v>
      </c>
      <c r="K310" s="228">
        <f ca="1">BSL</f>
        <v>0</v>
      </c>
      <c r="L310" s="234"/>
      <c r="M310" s="234"/>
      <c r="N310" s="234"/>
      <c r="O310" s="234"/>
      <c r="P310" s="234">
        <v>0</v>
      </c>
      <c r="Q310" s="235" t="s">
        <v>250</v>
      </c>
    </row>
    <row r="311" spans="2:17" ht="20.100000000000001" customHeight="1">
      <c r="B311" s="230">
        <f t="shared" si="5"/>
        <v>306</v>
      </c>
      <c r="C311" s="204">
        <f t="shared" si="5"/>
        <v>44136</v>
      </c>
      <c r="D311" s="228">
        <f ca="1">JAD</f>
        <v>0</v>
      </c>
      <c r="E311" s="228">
        <f ca="1">JAL</f>
        <v>0</v>
      </c>
      <c r="F311" s="234"/>
      <c r="G311" s="234"/>
      <c r="H311" s="228">
        <f ca="1">BD</f>
        <v>0</v>
      </c>
      <c r="I311" s="228">
        <f ca="1">BL</f>
        <v>0</v>
      </c>
      <c r="J311" s="228">
        <f ca="1">BSD</f>
        <v>0</v>
      </c>
      <c r="K311" s="228">
        <f ca="1">BSL</f>
        <v>0</v>
      </c>
      <c r="L311" s="234"/>
      <c r="M311" s="234"/>
      <c r="N311" s="234"/>
      <c r="O311" s="234"/>
      <c r="P311" s="234">
        <v>0</v>
      </c>
      <c r="Q311" s="235" t="s">
        <v>250</v>
      </c>
    </row>
    <row r="312" spans="2:17" ht="20.100000000000001" customHeight="1">
      <c r="B312" s="230">
        <f t="shared" si="5"/>
        <v>307</v>
      </c>
      <c r="C312" s="204">
        <f t="shared" si="5"/>
        <v>44137</v>
      </c>
      <c r="D312" s="228">
        <f ca="1">JAD</f>
        <v>0</v>
      </c>
      <c r="E312" s="228">
        <f ca="1">JAL</f>
        <v>0</v>
      </c>
      <c r="F312" s="234"/>
      <c r="G312" s="234"/>
      <c r="H312" s="228">
        <f ca="1">BD</f>
        <v>0</v>
      </c>
      <c r="I312" s="228">
        <f ca="1">BL</f>
        <v>0</v>
      </c>
      <c r="J312" s="228">
        <f ca="1">BSD</f>
        <v>0</v>
      </c>
      <c r="K312" s="228">
        <f ca="1">BSL</f>
        <v>0</v>
      </c>
      <c r="L312" s="234"/>
      <c r="M312" s="234"/>
      <c r="N312" s="234"/>
      <c r="O312" s="234"/>
      <c r="P312" s="234">
        <v>0</v>
      </c>
      <c r="Q312" s="235" t="s">
        <v>250</v>
      </c>
    </row>
    <row r="313" spans="2:17" ht="20.100000000000001" customHeight="1">
      <c r="B313" s="230">
        <f t="shared" si="5"/>
        <v>308</v>
      </c>
      <c r="C313" s="204">
        <f t="shared" si="5"/>
        <v>44138</v>
      </c>
      <c r="D313" s="228">
        <f ca="1">JAD</f>
        <v>0</v>
      </c>
      <c r="E313" s="228">
        <f ca="1">JAL</f>
        <v>0</v>
      </c>
      <c r="F313" s="234"/>
      <c r="G313" s="234"/>
      <c r="H313" s="228">
        <f ca="1">BD</f>
        <v>0</v>
      </c>
      <c r="I313" s="228">
        <f ca="1">BL</f>
        <v>0</v>
      </c>
      <c r="J313" s="228">
        <f ca="1">BSD</f>
        <v>0</v>
      </c>
      <c r="K313" s="228">
        <f ca="1">BSL</f>
        <v>0</v>
      </c>
      <c r="L313" s="234"/>
      <c r="M313" s="234"/>
      <c r="N313" s="234"/>
      <c r="O313" s="234"/>
      <c r="P313" s="234">
        <v>0</v>
      </c>
      <c r="Q313" s="235" t="s">
        <v>250</v>
      </c>
    </row>
    <row r="314" spans="2:17" ht="20.100000000000001" customHeight="1">
      <c r="B314" s="230">
        <f t="shared" si="5"/>
        <v>309</v>
      </c>
      <c r="C314" s="204">
        <f t="shared" si="5"/>
        <v>44139</v>
      </c>
      <c r="D314" s="228">
        <f ca="1">JAD</f>
        <v>0</v>
      </c>
      <c r="E314" s="228">
        <f ca="1">JAL</f>
        <v>0</v>
      </c>
      <c r="F314" s="234"/>
      <c r="G314" s="234"/>
      <c r="H314" s="228">
        <f ca="1">BD</f>
        <v>0</v>
      </c>
      <c r="I314" s="228">
        <f ca="1">BL</f>
        <v>0</v>
      </c>
      <c r="J314" s="228">
        <f ca="1">BSD</f>
        <v>0</v>
      </c>
      <c r="K314" s="228">
        <f ca="1">BSL</f>
        <v>0</v>
      </c>
      <c r="L314" s="234"/>
      <c r="M314" s="234"/>
      <c r="N314" s="234"/>
      <c r="O314" s="234"/>
      <c r="P314" s="234">
        <v>0</v>
      </c>
      <c r="Q314" s="235" t="s">
        <v>250</v>
      </c>
    </row>
    <row r="315" spans="2:17" ht="20.100000000000001" customHeight="1">
      <c r="B315" s="230">
        <f t="shared" si="5"/>
        <v>310</v>
      </c>
      <c r="C315" s="204">
        <f t="shared" si="5"/>
        <v>44140</v>
      </c>
      <c r="D315" s="228">
        <f ca="1">JAD</f>
        <v>0</v>
      </c>
      <c r="E315" s="228">
        <f ca="1">JAL</f>
        <v>0</v>
      </c>
      <c r="F315" s="234"/>
      <c r="G315" s="234"/>
      <c r="H315" s="228">
        <f ca="1">BD</f>
        <v>0</v>
      </c>
      <c r="I315" s="228">
        <f ca="1">BL</f>
        <v>0</v>
      </c>
      <c r="J315" s="228">
        <f ca="1">BSD</f>
        <v>0</v>
      </c>
      <c r="K315" s="228">
        <f ca="1">BSL</f>
        <v>0</v>
      </c>
      <c r="L315" s="234"/>
      <c r="M315" s="234"/>
      <c r="N315" s="234"/>
      <c r="O315" s="234"/>
      <c r="P315" s="234">
        <v>0</v>
      </c>
      <c r="Q315" s="235" t="s">
        <v>250</v>
      </c>
    </row>
    <row r="316" spans="2:17" ht="20.100000000000001" customHeight="1">
      <c r="B316" s="230">
        <f t="shared" si="5"/>
        <v>311</v>
      </c>
      <c r="C316" s="204">
        <f t="shared" si="5"/>
        <v>44141</v>
      </c>
      <c r="D316" s="228">
        <f ca="1">JAD</f>
        <v>0</v>
      </c>
      <c r="E316" s="228">
        <f ca="1">JAL</f>
        <v>0</v>
      </c>
      <c r="F316" s="234"/>
      <c r="G316" s="234"/>
      <c r="H316" s="228">
        <f ca="1">BD</f>
        <v>0</v>
      </c>
      <c r="I316" s="228">
        <f ca="1">BL</f>
        <v>0</v>
      </c>
      <c r="J316" s="228">
        <f ca="1">BSD</f>
        <v>0</v>
      </c>
      <c r="K316" s="228">
        <f ca="1">BSL</f>
        <v>0</v>
      </c>
      <c r="L316" s="234"/>
      <c r="M316" s="234"/>
      <c r="N316" s="234"/>
      <c r="O316" s="234"/>
      <c r="P316" s="234">
        <v>0</v>
      </c>
      <c r="Q316" s="235" t="s">
        <v>250</v>
      </c>
    </row>
    <row r="317" spans="2:17" ht="20.100000000000001" customHeight="1">
      <c r="B317" s="230">
        <f t="shared" si="5"/>
        <v>312</v>
      </c>
      <c r="C317" s="204">
        <f t="shared" si="5"/>
        <v>44142</v>
      </c>
      <c r="D317" s="228">
        <f ca="1">JAD</f>
        <v>0</v>
      </c>
      <c r="E317" s="228">
        <f ca="1">JAL</f>
        <v>0</v>
      </c>
      <c r="F317" s="234"/>
      <c r="G317" s="234"/>
      <c r="H317" s="228">
        <f ca="1">BD</f>
        <v>0</v>
      </c>
      <c r="I317" s="228">
        <f ca="1">BL</f>
        <v>0</v>
      </c>
      <c r="J317" s="228">
        <f ca="1">BSD</f>
        <v>0</v>
      </c>
      <c r="K317" s="228">
        <f ca="1">BSL</f>
        <v>0</v>
      </c>
      <c r="L317" s="234"/>
      <c r="M317" s="234"/>
      <c r="N317" s="234"/>
      <c r="O317" s="234"/>
      <c r="P317" s="234">
        <v>0</v>
      </c>
      <c r="Q317" s="235" t="s">
        <v>250</v>
      </c>
    </row>
    <row r="318" spans="2:17" ht="20.100000000000001" customHeight="1">
      <c r="B318" s="230">
        <f t="shared" si="5"/>
        <v>313</v>
      </c>
      <c r="C318" s="204">
        <f t="shared" si="5"/>
        <v>44143</v>
      </c>
      <c r="D318" s="228">
        <f ca="1">JAD</f>
        <v>0</v>
      </c>
      <c r="E318" s="228">
        <f ca="1">JAL</f>
        <v>0</v>
      </c>
      <c r="F318" s="234"/>
      <c r="G318" s="234"/>
      <c r="H318" s="228">
        <f ca="1">BD</f>
        <v>0</v>
      </c>
      <c r="I318" s="228">
        <f ca="1">BL</f>
        <v>0</v>
      </c>
      <c r="J318" s="228">
        <f ca="1">BSD</f>
        <v>0</v>
      </c>
      <c r="K318" s="228">
        <f ca="1">BSL</f>
        <v>0</v>
      </c>
      <c r="L318" s="234"/>
      <c r="M318" s="234"/>
      <c r="N318" s="234"/>
      <c r="O318" s="234"/>
      <c r="P318" s="234">
        <v>0</v>
      </c>
      <c r="Q318" s="235" t="s">
        <v>250</v>
      </c>
    </row>
    <row r="319" spans="2:17" ht="20.100000000000001" customHeight="1">
      <c r="B319" s="230">
        <f t="shared" si="5"/>
        <v>314</v>
      </c>
      <c r="C319" s="204">
        <f t="shared" si="5"/>
        <v>44144</v>
      </c>
      <c r="D319" s="228">
        <f ca="1">JAD</f>
        <v>0</v>
      </c>
      <c r="E319" s="228">
        <f ca="1">JAL</f>
        <v>0</v>
      </c>
      <c r="F319" s="234"/>
      <c r="G319" s="234"/>
      <c r="H319" s="228">
        <f ca="1">BD</f>
        <v>0</v>
      </c>
      <c r="I319" s="228">
        <f ca="1">BL</f>
        <v>0</v>
      </c>
      <c r="J319" s="228">
        <f ca="1">BSD</f>
        <v>0</v>
      </c>
      <c r="K319" s="228">
        <f ca="1">BSL</f>
        <v>0</v>
      </c>
      <c r="L319" s="234"/>
      <c r="M319" s="234"/>
      <c r="N319" s="234"/>
      <c r="O319" s="234"/>
      <c r="P319" s="234">
        <v>0</v>
      </c>
      <c r="Q319" s="235" t="s">
        <v>250</v>
      </c>
    </row>
    <row r="320" spans="2:17" ht="20.100000000000001" customHeight="1">
      <c r="B320" s="230">
        <f t="shared" si="5"/>
        <v>315</v>
      </c>
      <c r="C320" s="204">
        <f t="shared" si="5"/>
        <v>44145</v>
      </c>
      <c r="D320" s="228">
        <f ca="1">JAD</f>
        <v>0</v>
      </c>
      <c r="E320" s="228">
        <f ca="1">JAL</f>
        <v>0</v>
      </c>
      <c r="F320" s="234"/>
      <c r="G320" s="234"/>
      <c r="H320" s="228">
        <f ca="1">BD</f>
        <v>0</v>
      </c>
      <c r="I320" s="228">
        <f ca="1">BL</f>
        <v>0</v>
      </c>
      <c r="J320" s="228">
        <f ca="1">BSD</f>
        <v>0</v>
      </c>
      <c r="K320" s="228">
        <f ca="1">BSL</f>
        <v>0</v>
      </c>
      <c r="L320" s="234"/>
      <c r="M320" s="234"/>
      <c r="N320" s="234"/>
      <c r="O320" s="234"/>
      <c r="P320" s="234">
        <v>0</v>
      </c>
      <c r="Q320" s="235" t="s">
        <v>250</v>
      </c>
    </row>
    <row r="321" spans="2:17" ht="20.100000000000001" customHeight="1">
      <c r="B321" s="230">
        <f t="shared" si="5"/>
        <v>316</v>
      </c>
      <c r="C321" s="204">
        <f t="shared" si="5"/>
        <v>44146</v>
      </c>
      <c r="D321" s="228">
        <f ca="1">JAD</f>
        <v>0</v>
      </c>
      <c r="E321" s="228">
        <f ca="1">JAL</f>
        <v>0</v>
      </c>
      <c r="F321" s="234"/>
      <c r="G321" s="234"/>
      <c r="H321" s="228">
        <f ca="1">BD</f>
        <v>0</v>
      </c>
      <c r="I321" s="228">
        <f ca="1">BL</f>
        <v>0</v>
      </c>
      <c r="J321" s="228">
        <f ca="1">BSD</f>
        <v>0</v>
      </c>
      <c r="K321" s="228">
        <f ca="1">BSL</f>
        <v>0</v>
      </c>
      <c r="L321" s="234"/>
      <c r="M321" s="234"/>
      <c r="N321" s="234"/>
      <c r="O321" s="234"/>
      <c r="P321" s="234">
        <v>0</v>
      </c>
      <c r="Q321" s="235" t="s">
        <v>250</v>
      </c>
    </row>
    <row r="322" spans="2:17" ht="20.100000000000001" customHeight="1">
      <c r="B322" s="230">
        <f t="shared" si="5"/>
        <v>317</v>
      </c>
      <c r="C322" s="204">
        <f t="shared" si="5"/>
        <v>44147</v>
      </c>
      <c r="D322" s="228">
        <f ca="1">JAD</f>
        <v>0</v>
      </c>
      <c r="E322" s="228">
        <f ca="1">JAL</f>
        <v>0</v>
      </c>
      <c r="F322" s="234"/>
      <c r="G322" s="234"/>
      <c r="H322" s="228">
        <f ca="1">BD</f>
        <v>0</v>
      </c>
      <c r="I322" s="228">
        <f ca="1">BL</f>
        <v>0</v>
      </c>
      <c r="J322" s="228">
        <f ca="1">BSD</f>
        <v>0</v>
      </c>
      <c r="K322" s="228">
        <f ca="1">BSL</f>
        <v>0</v>
      </c>
      <c r="L322" s="234"/>
      <c r="M322" s="234"/>
      <c r="N322" s="234"/>
      <c r="O322" s="234"/>
      <c r="P322" s="234">
        <v>0</v>
      </c>
      <c r="Q322" s="235" t="s">
        <v>250</v>
      </c>
    </row>
    <row r="323" spans="2:17" ht="20.100000000000001" customHeight="1">
      <c r="B323" s="230">
        <f t="shared" si="5"/>
        <v>318</v>
      </c>
      <c r="C323" s="204">
        <f t="shared" si="5"/>
        <v>44148</v>
      </c>
      <c r="D323" s="228">
        <f ca="1">JAD</f>
        <v>0</v>
      </c>
      <c r="E323" s="228">
        <f ca="1">JAL</f>
        <v>0</v>
      </c>
      <c r="F323" s="234"/>
      <c r="G323" s="234"/>
      <c r="H323" s="228">
        <f ca="1">BD</f>
        <v>0</v>
      </c>
      <c r="I323" s="228">
        <f ca="1">BL</f>
        <v>0</v>
      </c>
      <c r="J323" s="228">
        <f ca="1">BSD</f>
        <v>0</v>
      </c>
      <c r="K323" s="228">
        <f ca="1">BSL</f>
        <v>0</v>
      </c>
      <c r="L323" s="234"/>
      <c r="M323" s="234"/>
      <c r="N323" s="234"/>
      <c r="O323" s="234"/>
      <c r="P323" s="234">
        <v>0</v>
      </c>
      <c r="Q323" s="235" t="s">
        <v>250</v>
      </c>
    </row>
    <row r="324" spans="2:17" ht="20.100000000000001" customHeight="1">
      <c r="B324" s="230">
        <f t="shared" si="5"/>
        <v>319</v>
      </c>
      <c r="C324" s="204">
        <f t="shared" si="5"/>
        <v>44149</v>
      </c>
      <c r="D324" s="228">
        <f ca="1">JAD</f>
        <v>0</v>
      </c>
      <c r="E324" s="228">
        <f ca="1">JAL</f>
        <v>0</v>
      </c>
      <c r="F324" s="234"/>
      <c r="G324" s="234"/>
      <c r="H324" s="228">
        <f ca="1">BD</f>
        <v>0</v>
      </c>
      <c r="I324" s="228">
        <f ca="1">BL</f>
        <v>0</v>
      </c>
      <c r="J324" s="228">
        <f ca="1">BSD</f>
        <v>0</v>
      </c>
      <c r="K324" s="228">
        <f ca="1">BSL</f>
        <v>0</v>
      </c>
      <c r="L324" s="234"/>
      <c r="M324" s="234"/>
      <c r="N324" s="234"/>
      <c r="O324" s="234"/>
      <c r="P324" s="234">
        <v>0</v>
      </c>
      <c r="Q324" s="235" t="s">
        <v>250</v>
      </c>
    </row>
    <row r="325" spans="2:17" ht="20.100000000000001" customHeight="1">
      <c r="B325" s="230">
        <f t="shared" si="5"/>
        <v>320</v>
      </c>
      <c r="C325" s="204">
        <f t="shared" si="5"/>
        <v>44150</v>
      </c>
      <c r="D325" s="228">
        <f ca="1">JAD</f>
        <v>0</v>
      </c>
      <c r="E325" s="228">
        <f ca="1">JAL</f>
        <v>0</v>
      </c>
      <c r="F325" s="234"/>
      <c r="G325" s="234"/>
      <c r="H325" s="228">
        <f ca="1">BD</f>
        <v>0</v>
      </c>
      <c r="I325" s="228">
        <f ca="1">BL</f>
        <v>0</v>
      </c>
      <c r="J325" s="228">
        <f ca="1">BSD</f>
        <v>0</v>
      </c>
      <c r="K325" s="228">
        <f ca="1">BSL</f>
        <v>0</v>
      </c>
      <c r="L325" s="234"/>
      <c r="M325" s="234"/>
      <c r="N325" s="234"/>
      <c r="O325" s="234"/>
      <c r="P325" s="234">
        <v>0</v>
      </c>
      <c r="Q325" s="235" t="s">
        <v>250</v>
      </c>
    </row>
    <row r="326" spans="2:17" ht="20.100000000000001" customHeight="1">
      <c r="B326" s="230">
        <f t="shared" si="5"/>
        <v>321</v>
      </c>
      <c r="C326" s="204">
        <f t="shared" si="5"/>
        <v>44151</v>
      </c>
      <c r="D326" s="228">
        <f ca="1">JAD</f>
        <v>0</v>
      </c>
      <c r="E326" s="228">
        <f ca="1">JAL</f>
        <v>0</v>
      </c>
      <c r="F326" s="234"/>
      <c r="G326" s="234"/>
      <c r="H326" s="228">
        <f ca="1">BD</f>
        <v>0</v>
      </c>
      <c r="I326" s="228">
        <f ca="1">BL</f>
        <v>0</v>
      </c>
      <c r="J326" s="228">
        <f ca="1">BSD</f>
        <v>0</v>
      </c>
      <c r="K326" s="228">
        <f ca="1">BSL</f>
        <v>0</v>
      </c>
      <c r="L326" s="234"/>
      <c r="M326" s="234"/>
      <c r="N326" s="234"/>
      <c r="O326" s="234"/>
      <c r="P326" s="234">
        <v>0</v>
      </c>
      <c r="Q326" s="235" t="s">
        <v>250</v>
      </c>
    </row>
    <row r="327" spans="2:17" ht="20.100000000000001" customHeight="1">
      <c r="B327" s="230">
        <f t="shared" si="5"/>
        <v>322</v>
      </c>
      <c r="C327" s="204">
        <f t="shared" si="5"/>
        <v>44152</v>
      </c>
      <c r="D327" s="228">
        <f ca="1">JAD</f>
        <v>0</v>
      </c>
      <c r="E327" s="228">
        <f ca="1">JAL</f>
        <v>0</v>
      </c>
      <c r="F327" s="234"/>
      <c r="G327" s="234"/>
      <c r="H327" s="228">
        <f ca="1">BD</f>
        <v>0</v>
      </c>
      <c r="I327" s="228">
        <f ca="1">BL</f>
        <v>0</v>
      </c>
      <c r="J327" s="228">
        <f ca="1">BSD</f>
        <v>0</v>
      </c>
      <c r="K327" s="228">
        <f ca="1">BSL</f>
        <v>0</v>
      </c>
      <c r="L327" s="234"/>
      <c r="M327" s="234"/>
      <c r="N327" s="234"/>
      <c r="O327" s="234"/>
      <c r="P327" s="234">
        <v>0</v>
      </c>
      <c r="Q327" s="235" t="s">
        <v>250</v>
      </c>
    </row>
    <row r="328" spans="2:17" ht="20.100000000000001" customHeight="1">
      <c r="B328" s="230">
        <f t="shared" si="5"/>
        <v>323</v>
      </c>
      <c r="C328" s="204">
        <f t="shared" si="5"/>
        <v>44153</v>
      </c>
      <c r="D328" s="228">
        <f ca="1">JAD</f>
        <v>0</v>
      </c>
      <c r="E328" s="228">
        <f ca="1">JAL</f>
        <v>0</v>
      </c>
      <c r="F328" s="234"/>
      <c r="G328" s="234"/>
      <c r="H328" s="228">
        <f ca="1">BD</f>
        <v>0</v>
      </c>
      <c r="I328" s="228">
        <f ca="1">BL</f>
        <v>0</v>
      </c>
      <c r="J328" s="228">
        <f ca="1">BSD</f>
        <v>0</v>
      </c>
      <c r="K328" s="228">
        <f ca="1">BSL</f>
        <v>0</v>
      </c>
      <c r="L328" s="234"/>
      <c r="M328" s="234"/>
      <c r="N328" s="234"/>
      <c r="O328" s="234"/>
      <c r="P328" s="234">
        <v>0</v>
      </c>
      <c r="Q328" s="235" t="s">
        <v>250</v>
      </c>
    </row>
    <row r="329" spans="2:17" ht="20.100000000000001" customHeight="1">
      <c r="B329" s="230">
        <f t="shared" ref="B329:C359" si="6">+B328+1</f>
        <v>324</v>
      </c>
      <c r="C329" s="204">
        <f t="shared" si="6"/>
        <v>44154</v>
      </c>
      <c r="D329" s="228">
        <f ca="1">JAD</f>
        <v>0</v>
      </c>
      <c r="E329" s="228">
        <f ca="1">JAL</f>
        <v>0</v>
      </c>
      <c r="F329" s="234"/>
      <c r="G329" s="234"/>
      <c r="H329" s="228">
        <f ca="1">BD</f>
        <v>0</v>
      </c>
      <c r="I329" s="228">
        <f ca="1">BL</f>
        <v>0</v>
      </c>
      <c r="J329" s="228">
        <f ca="1">BSD</f>
        <v>0</v>
      </c>
      <c r="K329" s="228">
        <f ca="1">BSL</f>
        <v>0</v>
      </c>
      <c r="L329" s="234"/>
      <c r="M329" s="234"/>
      <c r="N329" s="234"/>
      <c r="O329" s="234"/>
      <c r="P329" s="234">
        <v>0</v>
      </c>
      <c r="Q329" s="235" t="s">
        <v>250</v>
      </c>
    </row>
    <row r="330" spans="2:17" ht="20.100000000000001" customHeight="1">
      <c r="B330" s="230">
        <f t="shared" si="6"/>
        <v>325</v>
      </c>
      <c r="C330" s="204">
        <f t="shared" si="6"/>
        <v>44155</v>
      </c>
      <c r="D330" s="228">
        <f ca="1">JAD</f>
        <v>0</v>
      </c>
      <c r="E330" s="228">
        <f ca="1">JAL</f>
        <v>0</v>
      </c>
      <c r="F330" s="234"/>
      <c r="G330" s="234"/>
      <c r="H330" s="228">
        <f ca="1">BD</f>
        <v>0</v>
      </c>
      <c r="I330" s="228">
        <f ca="1">BL</f>
        <v>0</v>
      </c>
      <c r="J330" s="228">
        <f ca="1">BSD</f>
        <v>0</v>
      </c>
      <c r="K330" s="228">
        <f ca="1">BSL</f>
        <v>0</v>
      </c>
      <c r="L330" s="234"/>
      <c r="M330" s="234"/>
      <c r="N330" s="234"/>
      <c r="O330" s="234"/>
      <c r="P330" s="234">
        <v>0</v>
      </c>
      <c r="Q330" s="235" t="s">
        <v>250</v>
      </c>
    </row>
    <row r="331" spans="2:17" ht="20.100000000000001" customHeight="1">
      <c r="B331" s="230">
        <f t="shared" si="6"/>
        <v>326</v>
      </c>
      <c r="C331" s="204">
        <f t="shared" si="6"/>
        <v>44156</v>
      </c>
      <c r="D331" s="228">
        <f ca="1">JAD</f>
        <v>0</v>
      </c>
      <c r="E331" s="228">
        <f ca="1">JAL</f>
        <v>0</v>
      </c>
      <c r="F331" s="234"/>
      <c r="G331" s="234"/>
      <c r="H331" s="228">
        <f ca="1">BD</f>
        <v>0</v>
      </c>
      <c r="I331" s="228">
        <f ca="1">BL</f>
        <v>0</v>
      </c>
      <c r="J331" s="228">
        <f ca="1">BSD</f>
        <v>0</v>
      </c>
      <c r="K331" s="228">
        <f ca="1">BSL</f>
        <v>0</v>
      </c>
      <c r="L331" s="234"/>
      <c r="M331" s="234"/>
      <c r="N331" s="234"/>
      <c r="O331" s="234"/>
      <c r="P331" s="234">
        <v>0</v>
      </c>
      <c r="Q331" s="235" t="s">
        <v>250</v>
      </c>
    </row>
    <row r="332" spans="2:17" ht="20.100000000000001" customHeight="1">
      <c r="B332" s="230">
        <f t="shared" si="6"/>
        <v>327</v>
      </c>
      <c r="C332" s="204">
        <f t="shared" si="6"/>
        <v>44157</v>
      </c>
      <c r="D332" s="228">
        <f ca="1">JAD</f>
        <v>0</v>
      </c>
      <c r="E332" s="228">
        <f ca="1">JAL</f>
        <v>0</v>
      </c>
      <c r="F332" s="234"/>
      <c r="G332" s="234"/>
      <c r="H332" s="228">
        <f ca="1">BD</f>
        <v>0</v>
      </c>
      <c r="I332" s="228">
        <f ca="1">BL</f>
        <v>0</v>
      </c>
      <c r="J332" s="228">
        <f ca="1">BSD</f>
        <v>0</v>
      </c>
      <c r="K332" s="228">
        <f ca="1">BSL</f>
        <v>0</v>
      </c>
      <c r="L332" s="234"/>
      <c r="M332" s="234"/>
      <c r="N332" s="234"/>
      <c r="O332" s="234"/>
      <c r="P332" s="234">
        <v>0</v>
      </c>
      <c r="Q332" s="235" t="s">
        <v>250</v>
      </c>
    </row>
    <row r="333" spans="2:17" ht="20.100000000000001" customHeight="1">
      <c r="B333" s="230">
        <f t="shared" si="6"/>
        <v>328</v>
      </c>
      <c r="C333" s="204">
        <f t="shared" si="6"/>
        <v>44158</v>
      </c>
      <c r="D333" s="228">
        <f ca="1">JAD</f>
        <v>0</v>
      </c>
      <c r="E333" s="228">
        <f ca="1">JAL</f>
        <v>0</v>
      </c>
      <c r="F333" s="234"/>
      <c r="G333" s="234"/>
      <c r="H333" s="228">
        <f ca="1">BD</f>
        <v>0</v>
      </c>
      <c r="I333" s="228">
        <f ca="1">BL</f>
        <v>0</v>
      </c>
      <c r="J333" s="228">
        <f ca="1">BSD</f>
        <v>0</v>
      </c>
      <c r="K333" s="228">
        <f ca="1">BSL</f>
        <v>0</v>
      </c>
      <c r="L333" s="234"/>
      <c r="M333" s="234"/>
      <c r="N333" s="234"/>
      <c r="O333" s="234"/>
      <c r="P333" s="234">
        <v>0</v>
      </c>
      <c r="Q333" s="235" t="s">
        <v>250</v>
      </c>
    </row>
    <row r="334" spans="2:17" ht="20.100000000000001" customHeight="1">
      <c r="B334" s="230">
        <f t="shared" si="6"/>
        <v>329</v>
      </c>
      <c r="C334" s="204">
        <f t="shared" si="6"/>
        <v>44159</v>
      </c>
      <c r="D334" s="228">
        <f ca="1">JAD</f>
        <v>0</v>
      </c>
      <c r="E334" s="228">
        <f ca="1">JAL</f>
        <v>0</v>
      </c>
      <c r="F334" s="234"/>
      <c r="G334" s="234"/>
      <c r="H334" s="228">
        <f ca="1">BD</f>
        <v>0</v>
      </c>
      <c r="I334" s="228">
        <f ca="1">BL</f>
        <v>0</v>
      </c>
      <c r="J334" s="228">
        <f ca="1">BSD</f>
        <v>0</v>
      </c>
      <c r="K334" s="228">
        <f ca="1">BSL</f>
        <v>0</v>
      </c>
      <c r="L334" s="234"/>
      <c r="M334" s="234"/>
      <c r="N334" s="234"/>
      <c r="O334" s="234"/>
      <c r="P334" s="234">
        <v>0</v>
      </c>
      <c r="Q334" s="235" t="s">
        <v>250</v>
      </c>
    </row>
    <row r="335" spans="2:17" ht="20.100000000000001" customHeight="1">
      <c r="B335" s="230">
        <f t="shared" si="6"/>
        <v>330</v>
      </c>
      <c r="C335" s="204">
        <f t="shared" si="6"/>
        <v>44160</v>
      </c>
      <c r="D335" s="228">
        <f ca="1">JAD</f>
        <v>0</v>
      </c>
      <c r="E335" s="228">
        <f ca="1">JAL</f>
        <v>0</v>
      </c>
      <c r="F335" s="234"/>
      <c r="G335" s="234"/>
      <c r="H335" s="228">
        <f ca="1">BD</f>
        <v>0</v>
      </c>
      <c r="I335" s="228">
        <f ca="1">BL</f>
        <v>0</v>
      </c>
      <c r="J335" s="228">
        <f ca="1">BSD</f>
        <v>0</v>
      </c>
      <c r="K335" s="228">
        <f ca="1">BSL</f>
        <v>0</v>
      </c>
      <c r="L335" s="234"/>
      <c r="M335" s="234"/>
      <c r="N335" s="234"/>
      <c r="O335" s="234"/>
      <c r="P335" s="234">
        <v>0</v>
      </c>
      <c r="Q335" s="235" t="s">
        <v>250</v>
      </c>
    </row>
    <row r="336" spans="2:17" ht="20.100000000000001" customHeight="1">
      <c r="B336" s="230">
        <f t="shared" si="6"/>
        <v>331</v>
      </c>
      <c r="C336" s="204">
        <f t="shared" si="6"/>
        <v>44161</v>
      </c>
      <c r="D336" s="228">
        <f ca="1">JAD</f>
        <v>0</v>
      </c>
      <c r="E336" s="228">
        <f ca="1">JAL</f>
        <v>0</v>
      </c>
      <c r="F336" s="234"/>
      <c r="G336" s="234"/>
      <c r="H336" s="228">
        <f ca="1">BD</f>
        <v>0</v>
      </c>
      <c r="I336" s="228">
        <f ca="1">BL</f>
        <v>0</v>
      </c>
      <c r="J336" s="228">
        <f ca="1">BSD</f>
        <v>0</v>
      </c>
      <c r="K336" s="228">
        <f ca="1">BSL</f>
        <v>0</v>
      </c>
      <c r="L336" s="234"/>
      <c r="M336" s="234"/>
      <c r="N336" s="234"/>
      <c r="O336" s="234"/>
      <c r="P336" s="234">
        <v>0</v>
      </c>
      <c r="Q336" s="235" t="s">
        <v>250</v>
      </c>
    </row>
    <row r="337" spans="2:17" ht="20.100000000000001" customHeight="1">
      <c r="B337" s="230">
        <f t="shared" si="6"/>
        <v>332</v>
      </c>
      <c r="C337" s="204">
        <f t="shared" si="6"/>
        <v>44162</v>
      </c>
      <c r="D337" s="228">
        <f ca="1">JAD</f>
        <v>0</v>
      </c>
      <c r="E337" s="228">
        <f ca="1">JAL</f>
        <v>0</v>
      </c>
      <c r="F337" s="234"/>
      <c r="G337" s="234"/>
      <c r="H337" s="228">
        <f ca="1">BD</f>
        <v>0</v>
      </c>
      <c r="I337" s="228">
        <f ca="1">BL</f>
        <v>0</v>
      </c>
      <c r="J337" s="228">
        <f ca="1">BSD</f>
        <v>0</v>
      </c>
      <c r="K337" s="228">
        <f ca="1">BSL</f>
        <v>0</v>
      </c>
      <c r="L337" s="234"/>
      <c r="M337" s="234"/>
      <c r="N337" s="234"/>
      <c r="O337" s="234"/>
      <c r="P337" s="234">
        <v>0</v>
      </c>
      <c r="Q337" s="235" t="s">
        <v>250</v>
      </c>
    </row>
    <row r="338" spans="2:17" ht="20.100000000000001" customHeight="1">
      <c r="B338" s="230">
        <f t="shared" si="6"/>
        <v>333</v>
      </c>
      <c r="C338" s="204">
        <f t="shared" si="6"/>
        <v>44163</v>
      </c>
      <c r="D338" s="228">
        <f ca="1">JAD</f>
        <v>0</v>
      </c>
      <c r="E338" s="228">
        <f ca="1">JAL</f>
        <v>0</v>
      </c>
      <c r="F338" s="234"/>
      <c r="G338" s="234"/>
      <c r="H338" s="228">
        <f ca="1">BD</f>
        <v>0</v>
      </c>
      <c r="I338" s="228">
        <f ca="1">BL</f>
        <v>0</v>
      </c>
      <c r="J338" s="228">
        <f ca="1">BSD</f>
        <v>0</v>
      </c>
      <c r="K338" s="228">
        <f ca="1">BSL</f>
        <v>0</v>
      </c>
      <c r="L338" s="234"/>
      <c r="M338" s="234"/>
      <c r="N338" s="234"/>
      <c r="O338" s="234"/>
      <c r="P338" s="234">
        <v>0</v>
      </c>
      <c r="Q338" s="235" t="s">
        <v>250</v>
      </c>
    </row>
    <row r="339" spans="2:17" ht="20.100000000000001" customHeight="1">
      <c r="B339" s="230">
        <f t="shared" si="6"/>
        <v>334</v>
      </c>
      <c r="C339" s="204">
        <f t="shared" si="6"/>
        <v>44164</v>
      </c>
      <c r="D339" s="228">
        <f ca="1">JAD</f>
        <v>0</v>
      </c>
      <c r="E339" s="228">
        <f ca="1">JAL</f>
        <v>0</v>
      </c>
      <c r="F339" s="234"/>
      <c r="G339" s="234"/>
      <c r="H339" s="228">
        <f ca="1">BD</f>
        <v>0</v>
      </c>
      <c r="I339" s="228">
        <f ca="1">BL</f>
        <v>0</v>
      </c>
      <c r="J339" s="228">
        <f ca="1">BSD</f>
        <v>0</v>
      </c>
      <c r="K339" s="228">
        <f ca="1">BSL</f>
        <v>0</v>
      </c>
      <c r="L339" s="234"/>
      <c r="M339" s="234"/>
      <c r="N339" s="234"/>
      <c r="O339" s="234"/>
      <c r="P339" s="234">
        <v>0</v>
      </c>
      <c r="Q339" s="235" t="s">
        <v>250</v>
      </c>
    </row>
    <row r="340" spans="2:17" ht="20.100000000000001" customHeight="1">
      <c r="B340" s="230">
        <f t="shared" si="6"/>
        <v>335</v>
      </c>
      <c r="C340" s="204">
        <f t="shared" si="6"/>
        <v>44165</v>
      </c>
      <c r="D340" s="228">
        <f ca="1">JAD</f>
        <v>0</v>
      </c>
      <c r="E340" s="228">
        <f ca="1">JAL</f>
        <v>0</v>
      </c>
      <c r="F340" s="234"/>
      <c r="G340" s="234"/>
      <c r="H340" s="228">
        <f ca="1">BD</f>
        <v>0</v>
      </c>
      <c r="I340" s="228">
        <f ca="1">BL</f>
        <v>0</v>
      </c>
      <c r="J340" s="228">
        <f ca="1">BSD</f>
        <v>0</v>
      </c>
      <c r="K340" s="228">
        <f ca="1">BSL</f>
        <v>0</v>
      </c>
      <c r="L340" s="234"/>
      <c r="M340" s="234"/>
      <c r="N340" s="234"/>
      <c r="O340" s="234"/>
      <c r="P340" s="234">
        <v>0</v>
      </c>
      <c r="Q340" s="235" t="s">
        <v>250</v>
      </c>
    </row>
    <row r="341" spans="2:17" ht="20.100000000000001" customHeight="1">
      <c r="B341" s="230">
        <f t="shared" si="6"/>
        <v>336</v>
      </c>
      <c r="C341" s="204">
        <f t="shared" si="6"/>
        <v>44166</v>
      </c>
      <c r="D341" s="228">
        <f ca="1">JAD</f>
        <v>0</v>
      </c>
      <c r="E341" s="228">
        <f ca="1">JAL</f>
        <v>0</v>
      </c>
      <c r="F341" s="234"/>
      <c r="G341" s="234"/>
      <c r="H341" s="228">
        <f ca="1">BD</f>
        <v>0</v>
      </c>
      <c r="I341" s="228">
        <f ca="1">BL</f>
        <v>0</v>
      </c>
      <c r="J341" s="228">
        <f ca="1">BSD</f>
        <v>0</v>
      </c>
      <c r="K341" s="228">
        <f ca="1">BSL</f>
        <v>0</v>
      </c>
      <c r="L341" s="234"/>
      <c r="M341" s="234"/>
      <c r="N341" s="234"/>
      <c r="O341" s="234"/>
      <c r="P341" s="234">
        <v>0</v>
      </c>
      <c r="Q341" s="235" t="s">
        <v>250</v>
      </c>
    </row>
    <row r="342" spans="2:17" ht="20.100000000000001" customHeight="1">
      <c r="B342" s="230">
        <f t="shared" si="6"/>
        <v>337</v>
      </c>
      <c r="C342" s="204">
        <f t="shared" si="6"/>
        <v>44167</v>
      </c>
      <c r="D342" s="228">
        <f ca="1">JAD</f>
        <v>0</v>
      </c>
      <c r="E342" s="228">
        <f ca="1">JAL</f>
        <v>0</v>
      </c>
      <c r="F342" s="234"/>
      <c r="G342" s="234"/>
      <c r="H342" s="228">
        <f ca="1">BD</f>
        <v>0</v>
      </c>
      <c r="I342" s="228">
        <f ca="1">BL</f>
        <v>0</v>
      </c>
      <c r="J342" s="228">
        <f ca="1">BSD</f>
        <v>0</v>
      </c>
      <c r="K342" s="228">
        <f ca="1">BSL</f>
        <v>0</v>
      </c>
      <c r="L342" s="234"/>
      <c r="M342" s="234"/>
      <c r="N342" s="234"/>
      <c r="O342" s="234"/>
      <c r="P342" s="234">
        <v>0</v>
      </c>
      <c r="Q342" s="235" t="s">
        <v>250</v>
      </c>
    </row>
    <row r="343" spans="2:17" ht="20.100000000000001" customHeight="1">
      <c r="B343" s="230">
        <f t="shared" si="6"/>
        <v>338</v>
      </c>
      <c r="C343" s="204">
        <f t="shared" si="6"/>
        <v>44168</v>
      </c>
      <c r="D343" s="228">
        <f ca="1">JAD</f>
        <v>0</v>
      </c>
      <c r="E343" s="228">
        <f ca="1">JAL</f>
        <v>0</v>
      </c>
      <c r="F343" s="234"/>
      <c r="G343" s="234"/>
      <c r="H343" s="228">
        <f ca="1">BD</f>
        <v>0</v>
      </c>
      <c r="I343" s="228">
        <f ca="1">BL</f>
        <v>0</v>
      </c>
      <c r="J343" s="228">
        <f ca="1">BSD</f>
        <v>0</v>
      </c>
      <c r="K343" s="228">
        <f ca="1">BSL</f>
        <v>0</v>
      </c>
      <c r="L343" s="234"/>
      <c r="M343" s="234"/>
      <c r="N343" s="234"/>
      <c r="O343" s="234"/>
      <c r="P343" s="234">
        <v>0</v>
      </c>
      <c r="Q343" s="235" t="s">
        <v>250</v>
      </c>
    </row>
    <row r="344" spans="2:17" ht="20.100000000000001" customHeight="1">
      <c r="B344" s="230">
        <f t="shared" si="6"/>
        <v>339</v>
      </c>
      <c r="C344" s="204">
        <f t="shared" si="6"/>
        <v>44169</v>
      </c>
      <c r="D344" s="228">
        <f ca="1">JAD</f>
        <v>0</v>
      </c>
      <c r="E344" s="228">
        <f ca="1">JAL</f>
        <v>0</v>
      </c>
      <c r="F344" s="234"/>
      <c r="G344" s="234"/>
      <c r="H344" s="228">
        <f ca="1">BD</f>
        <v>0</v>
      </c>
      <c r="I344" s="228">
        <f ca="1">BL</f>
        <v>0</v>
      </c>
      <c r="J344" s="228">
        <f ca="1">BSD</f>
        <v>0</v>
      </c>
      <c r="K344" s="228">
        <f ca="1">BSL</f>
        <v>0</v>
      </c>
      <c r="L344" s="234"/>
      <c r="M344" s="234"/>
      <c r="N344" s="234"/>
      <c r="O344" s="234"/>
      <c r="P344" s="234">
        <v>0</v>
      </c>
      <c r="Q344" s="235" t="s">
        <v>250</v>
      </c>
    </row>
    <row r="345" spans="2:17" ht="20.100000000000001" customHeight="1">
      <c r="B345" s="230">
        <f t="shared" si="6"/>
        <v>340</v>
      </c>
      <c r="C345" s="204">
        <f t="shared" si="6"/>
        <v>44170</v>
      </c>
      <c r="D345" s="228">
        <f ca="1">JAD</f>
        <v>0</v>
      </c>
      <c r="E345" s="228">
        <f ca="1">JAL</f>
        <v>0</v>
      </c>
      <c r="F345" s="234"/>
      <c r="G345" s="234"/>
      <c r="H345" s="228">
        <f ca="1">BD</f>
        <v>0</v>
      </c>
      <c r="I345" s="228">
        <f ca="1">BL</f>
        <v>0</v>
      </c>
      <c r="J345" s="228">
        <f ca="1">BSD</f>
        <v>0</v>
      </c>
      <c r="K345" s="228">
        <f ca="1">BSL</f>
        <v>0</v>
      </c>
      <c r="L345" s="234"/>
      <c r="M345" s="234"/>
      <c r="N345" s="234"/>
      <c r="O345" s="234"/>
      <c r="P345" s="234">
        <v>0</v>
      </c>
      <c r="Q345" s="235" t="s">
        <v>250</v>
      </c>
    </row>
    <row r="346" spans="2:17" ht="20.100000000000001" customHeight="1">
      <c r="B346" s="230">
        <f t="shared" si="6"/>
        <v>341</v>
      </c>
      <c r="C346" s="204">
        <f t="shared" si="6"/>
        <v>44171</v>
      </c>
      <c r="D346" s="228">
        <f ca="1">JAD</f>
        <v>0</v>
      </c>
      <c r="E346" s="228">
        <f ca="1">JAL</f>
        <v>0</v>
      </c>
      <c r="F346" s="234"/>
      <c r="G346" s="234"/>
      <c r="H346" s="228">
        <f ca="1">BD</f>
        <v>0</v>
      </c>
      <c r="I346" s="228">
        <f ca="1">BL</f>
        <v>0</v>
      </c>
      <c r="J346" s="228">
        <f ca="1">BSD</f>
        <v>0</v>
      </c>
      <c r="K346" s="228">
        <f ca="1">BSL</f>
        <v>0</v>
      </c>
      <c r="L346" s="234"/>
      <c r="M346" s="234"/>
      <c r="N346" s="234"/>
      <c r="O346" s="234"/>
      <c r="P346" s="234">
        <v>0</v>
      </c>
      <c r="Q346" s="235" t="s">
        <v>250</v>
      </c>
    </row>
    <row r="347" spans="2:17" ht="20.100000000000001" customHeight="1">
      <c r="B347" s="230">
        <f t="shared" si="6"/>
        <v>342</v>
      </c>
      <c r="C347" s="204">
        <f t="shared" si="6"/>
        <v>44172</v>
      </c>
      <c r="D347" s="228">
        <f ca="1">JAD</f>
        <v>0</v>
      </c>
      <c r="E347" s="228">
        <f ca="1">JAL</f>
        <v>0</v>
      </c>
      <c r="F347" s="234"/>
      <c r="G347" s="234"/>
      <c r="H347" s="228">
        <f ca="1">BD</f>
        <v>0</v>
      </c>
      <c r="I347" s="228">
        <f ca="1">BL</f>
        <v>0</v>
      </c>
      <c r="J347" s="228">
        <f ca="1">BSD</f>
        <v>0</v>
      </c>
      <c r="K347" s="228">
        <f ca="1">BSL</f>
        <v>0</v>
      </c>
      <c r="L347" s="234"/>
      <c r="M347" s="234"/>
      <c r="N347" s="234"/>
      <c r="O347" s="234"/>
      <c r="P347" s="234">
        <v>0</v>
      </c>
      <c r="Q347" s="235" t="s">
        <v>250</v>
      </c>
    </row>
    <row r="348" spans="2:17" ht="20.100000000000001" customHeight="1">
      <c r="B348" s="230">
        <f t="shared" si="6"/>
        <v>343</v>
      </c>
      <c r="C348" s="204">
        <f t="shared" si="6"/>
        <v>44173</v>
      </c>
      <c r="D348" s="228">
        <f ca="1">JAD</f>
        <v>0</v>
      </c>
      <c r="E348" s="228">
        <f ca="1">JAL</f>
        <v>0</v>
      </c>
      <c r="F348" s="234"/>
      <c r="G348" s="234"/>
      <c r="H348" s="228">
        <f ca="1">BD</f>
        <v>0</v>
      </c>
      <c r="I348" s="228">
        <f ca="1">BL</f>
        <v>0</v>
      </c>
      <c r="J348" s="228">
        <f ca="1">BSD</f>
        <v>0</v>
      </c>
      <c r="K348" s="228">
        <f ca="1">BSL</f>
        <v>0</v>
      </c>
      <c r="L348" s="234"/>
      <c r="M348" s="234"/>
      <c r="N348" s="234"/>
      <c r="O348" s="234"/>
      <c r="P348" s="234">
        <v>0</v>
      </c>
      <c r="Q348" s="235" t="s">
        <v>250</v>
      </c>
    </row>
    <row r="349" spans="2:17" ht="20.100000000000001" customHeight="1">
      <c r="B349" s="230">
        <f t="shared" si="6"/>
        <v>344</v>
      </c>
      <c r="C349" s="204">
        <f t="shared" si="6"/>
        <v>44174</v>
      </c>
      <c r="D349" s="228">
        <f ca="1">JAD</f>
        <v>0</v>
      </c>
      <c r="E349" s="228">
        <f ca="1">JAL</f>
        <v>0</v>
      </c>
      <c r="F349" s="234"/>
      <c r="G349" s="234"/>
      <c r="H349" s="228">
        <f ca="1">BD</f>
        <v>0</v>
      </c>
      <c r="I349" s="228">
        <f ca="1">BL</f>
        <v>0</v>
      </c>
      <c r="J349" s="228">
        <f ca="1">BSD</f>
        <v>0</v>
      </c>
      <c r="K349" s="228">
        <f ca="1">BSL</f>
        <v>0</v>
      </c>
      <c r="L349" s="234"/>
      <c r="M349" s="234"/>
      <c r="N349" s="234"/>
      <c r="O349" s="234"/>
      <c r="P349" s="234">
        <v>0</v>
      </c>
      <c r="Q349" s="235" t="s">
        <v>250</v>
      </c>
    </row>
    <row r="350" spans="2:17" ht="20.100000000000001" customHeight="1">
      <c r="B350" s="230">
        <f t="shared" si="6"/>
        <v>345</v>
      </c>
      <c r="C350" s="204">
        <f t="shared" si="6"/>
        <v>44175</v>
      </c>
      <c r="D350" s="228">
        <f ca="1">JAD</f>
        <v>0</v>
      </c>
      <c r="E350" s="228">
        <f ca="1">JAL</f>
        <v>0</v>
      </c>
      <c r="F350" s="234"/>
      <c r="G350" s="234"/>
      <c r="H350" s="228">
        <f ca="1">BD</f>
        <v>0</v>
      </c>
      <c r="I350" s="228">
        <f ca="1">BL</f>
        <v>0</v>
      </c>
      <c r="J350" s="228">
        <f ca="1">BSD</f>
        <v>0</v>
      </c>
      <c r="K350" s="228">
        <f ca="1">BSL</f>
        <v>0</v>
      </c>
      <c r="L350" s="234"/>
      <c r="M350" s="234"/>
      <c r="N350" s="234"/>
      <c r="O350" s="234"/>
      <c r="P350" s="234">
        <v>0</v>
      </c>
      <c r="Q350" s="235" t="s">
        <v>250</v>
      </c>
    </row>
    <row r="351" spans="2:17" ht="20.100000000000001" customHeight="1">
      <c r="B351" s="230">
        <f t="shared" si="6"/>
        <v>346</v>
      </c>
      <c r="C351" s="204">
        <f t="shared" si="6"/>
        <v>44176</v>
      </c>
      <c r="D351" s="228">
        <f ca="1">JAD</f>
        <v>0</v>
      </c>
      <c r="E351" s="228">
        <f ca="1">JAL</f>
        <v>0</v>
      </c>
      <c r="F351" s="234"/>
      <c r="G351" s="234"/>
      <c r="H351" s="228">
        <f ca="1">BD</f>
        <v>0</v>
      </c>
      <c r="I351" s="228">
        <f ca="1">BL</f>
        <v>0</v>
      </c>
      <c r="J351" s="228">
        <f ca="1">BSD</f>
        <v>0</v>
      </c>
      <c r="K351" s="228">
        <f ca="1">BSL</f>
        <v>0</v>
      </c>
      <c r="L351" s="234"/>
      <c r="M351" s="234"/>
      <c r="N351" s="234"/>
      <c r="O351" s="234"/>
      <c r="P351" s="234">
        <v>0</v>
      </c>
      <c r="Q351" s="235" t="s">
        <v>250</v>
      </c>
    </row>
    <row r="352" spans="2:17" ht="20.100000000000001" customHeight="1">
      <c r="B352" s="230">
        <f t="shared" si="6"/>
        <v>347</v>
      </c>
      <c r="C352" s="204">
        <f t="shared" si="6"/>
        <v>44177</v>
      </c>
      <c r="D352" s="228">
        <f ca="1">JAD</f>
        <v>0</v>
      </c>
      <c r="E352" s="228">
        <f ca="1">JAL</f>
        <v>0</v>
      </c>
      <c r="F352" s="234"/>
      <c r="G352" s="234"/>
      <c r="H352" s="228">
        <f ca="1">BD</f>
        <v>0</v>
      </c>
      <c r="I352" s="228">
        <f ca="1">BL</f>
        <v>0</v>
      </c>
      <c r="J352" s="228">
        <f ca="1">BSD</f>
        <v>0</v>
      </c>
      <c r="K352" s="228">
        <f ca="1">BSL</f>
        <v>0</v>
      </c>
      <c r="L352" s="234"/>
      <c r="M352" s="234"/>
      <c r="N352" s="234"/>
      <c r="O352" s="234"/>
      <c r="P352" s="234">
        <v>0</v>
      </c>
      <c r="Q352" s="235" t="s">
        <v>250</v>
      </c>
    </row>
    <row r="353" spans="2:17" ht="20.100000000000001" customHeight="1">
      <c r="B353" s="230">
        <f t="shared" si="6"/>
        <v>348</v>
      </c>
      <c r="C353" s="204">
        <f t="shared" si="6"/>
        <v>44178</v>
      </c>
      <c r="D353" s="228">
        <f ca="1">JAD</f>
        <v>0</v>
      </c>
      <c r="E353" s="228">
        <f ca="1">JAL</f>
        <v>0</v>
      </c>
      <c r="F353" s="234"/>
      <c r="G353" s="234"/>
      <c r="H353" s="228">
        <f ca="1">BD</f>
        <v>0</v>
      </c>
      <c r="I353" s="228">
        <f ca="1">BL</f>
        <v>0</v>
      </c>
      <c r="J353" s="228">
        <f ca="1">BSD</f>
        <v>0</v>
      </c>
      <c r="K353" s="228">
        <f ca="1">BSL</f>
        <v>0</v>
      </c>
      <c r="L353" s="234"/>
      <c r="M353" s="234"/>
      <c r="N353" s="234"/>
      <c r="O353" s="234"/>
      <c r="P353" s="234">
        <v>0</v>
      </c>
      <c r="Q353" s="235" t="s">
        <v>250</v>
      </c>
    </row>
    <row r="354" spans="2:17" ht="20.100000000000001" customHeight="1">
      <c r="B354" s="230">
        <f t="shared" si="6"/>
        <v>349</v>
      </c>
      <c r="C354" s="204">
        <f t="shared" si="6"/>
        <v>44179</v>
      </c>
      <c r="D354" s="228">
        <f ca="1">JAD</f>
        <v>0</v>
      </c>
      <c r="E354" s="228">
        <f ca="1">JAL</f>
        <v>0</v>
      </c>
      <c r="F354" s="234"/>
      <c r="G354" s="234"/>
      <c r="H354" s="228">
        <f ca="1">BD</f>
        <v>0</v>
      </c>
      <c r="I354" s="228">
        <f ca="1">BL</f>
        <v>0</v>
      </c>
      <c r="J354" s="228">
        <f ca="1">BSD</f>
        <v>0</v>
      </c>
      <c r="K354" s="228">
        <f ca="1">BSL</f>
        <v>0</v>
      </c>
      <c r="L354" s="234"/>
      <c r="M354" s="234"/>
      <c r="N354" s="234"/>
      <c r="O354" s="234"/>
      <c r="P354" s="234">
        <v>0</v>
      </c>
      <c r="Q354" s="235" t="s">
        <v>250</v>
      </c>
    </row>
    <row r="355" spans="2:17" ht="20.100000000000001" customHeight="1">
      <c r="B355" s="230">
        <f t="shared" si="6"/>
        <v>350</v>
      </c>
      <c r="C355" s="204">
        <f t="shared" si="6"/>
        <v>44180</v>
      </c>
      <c r="D355" s="228">
        <f ca="1">JAD</f>
        <v>0</v>
      </c>
      <c r="E355" s="228">
        <f ca="1">JAL</f>
        <v>0</v>
      </c>
      <c r="F355" s="234"/>
      <c r="G355" s="234"/>
      <c r="H355" s="228">
        <f ca="1">BD</f>
        <v>0</v>
      </c>
      <c r="I355" s="228">
        <f ca="1">BL</f>
        <v>0</v>
      </c>
      <c r="J355" s="228">
        <f ca="1">BSD</f>
        <v>0</v>
      </c>
      <c r="K355" s="228">
        <f ca="1">BSL</f>
        <v>0</v>
      </c>
      <c r="L355" s="234"/>
      <c r="M355" s="234"/>
      <c r="N355" s="234"/>
      <c r="O355" s="234"/>
      <c r="P355" s="234">
        <v>0</v>
      </c>
      <c r="Q355" s="235" t="s">
        <v>250</v>
      </c>
    </row>
    <row r="356" spans="2:17" ht="20.100000000000001" customHeight="1">
      <c r="B356" s="230">
        <f t="shared" si="6"/>
        <v>351</v>
      </c>
      <c r="C356" s="204">
        <f t="shared" si="6"/>
        <v>44181</v>
      </c>
      <c r="D356" s="228">
        <f ca="1">JAD</f>
        <v>0</v>
      </c>
      <c r="E356" s="228">
        <f ca="1">JAL</f>
        <v>0</v>
      </c>
      <c r="F356" s="234"/>
      <c r="G356" s="234"/>
      <c r="H356" s="228">
        <f ca="1">BD</f>
        <v>0</v>
      </c>
      <c r="I356" s="228">
        <f ca="1">BL</f>
        <v>0</v>
      </c>
      <c r="J356" s="228">
        <f ca="1">BSD</f>
        <v>0</v>
      </c>
      <c r="K356" s="228">
        <f ca="1">BSL</f>
        <v>0</v>
      </c>
      <c r="L356" s="234"/>
      <c r="M356" s="234"/>
      <c r="N356" s="234"/>
      <c r="O356" s="234"/>
      <c r="P356" s="234">
        <v>0</v>
      </c>
      <c r="Q356" s="235" t="s">
        <v>250</v>
      </c>
    </row>
    <row r="357" spans="2:17" ht="20.100000000000001" customHeight="1">
      <c r="B357" s="230">
        <f t="shared" si="6"/>
        <v>352</v>
      </c>
      <c r="C357" s="204">
        <f t="shared" si="6"/>
        <v>44182</v>
      </c>
      <c r="D357" s="228">
        <f ca="1">JAD</f>
        <v>0</v>
      </c>
      <c r="E357" s="228">
        <f ca="1">JAL</f>
        <v>0</v>
      </c>
      <c r="F357" s="234"/>
      <c r="G357" s="234"/>
      <c r="H357" s="228">
        <f ca="1">BD</f>
        <v>0</v>
      </c>
      <c r="I357" s="228">
        <f ca="1">BL</f>
        <v>0</v>
      </c>
      <c r="J357" s="228">
        <f ca="1">BSD</f>
        <v>0</v>
      </c>
      <c r="K357" s="228">
        <f ca="1">BSL</f>
        <v>0</v>
      </c>
      <c r="L357" s="234"/>
      <c r="M357" s="234"/>
      <c r="N357" s="234"/>
      <c r="O357" s="234"/>
      <c r="P357" s="234">
        <v>0</v>
      </c>
      <c r="Q357" s="235" t="s">
        <v>250</v>
      </c>
    </row>
    <row r="358" spans="2:17" ht="20.100000000000001" customHeight="1">
      <c r="B358" s="230">
        <f t="shared" si="6"/>
        <v>353</v>
      </c>
      <c r="C358" s="204">
        <f t="shared" si="6"/>
        <v>44183</v>
      </c>
      <c r="D358" s="228">
        <f ca="1">JAD</f>
        <v>0</v>
      </c>
      <c r="E358" s="228">
        <f ca="1">JAL</f>
        <v>0</v>
      </c>
      <c r="F358" s="234"/>
      <c r="G358" s="234"/>
      <c r="H358" s="228">
        <f ca="1">BD</f>
        <v>0</v>
      </c>
      <c r="I358" s="228">
        <f ca="1">BL</f>
        <v>0</v>
      </c>
      <c r="J358" s="228">
        <f ca="1">BSD</f>
        <v>0</v>
      </c>
      <c r="K358" s="228">
        <f ca="1">BSL</f>
        <v>0</v>
      </c>
      <c r="L358" s="234"/>
      <c r="M358" s="234"/>
      <c r="N358" s="234"/>
      <c r="O358" s="234"/>
      <c r="P358" s="234">
        <v>0</v>
      </c>
      <c r="Q358" s="235" t="s">
        <v>250</v>
      </c>
    </row>
    <row r="359" spans="2:17" ht="20.100000000000001" customHeight="1">
      <c r="B359" s="230">
        <f t="shared" si="6"/>
        <v>354</v>
      </c>
      <c r="C359" s="204">
        <f t="shared" si="6"/>
        <v>44184</v>
      </c>
      <c r="D359" s="228">
        <f ca="1">JAD</f>
        <v>0</v>
      </c>
      <c r="E359" s="228">
        <f ca="1">JAL</f>
        <v>0</v>
      </c>
      <c r="F359" s="234"/>
      <c r="G359" s="234"/>
      <c r="H359" s="228">
        <f ca="1">BD</f>
        <v>0</v>
      </c>
      <c r="I359" s="228">
        <f ca="1">BL</f>
        <v>0</v>
      </c>
      <c r="J359" s="228">
        <f ca="1">BSD</f>
        <v>0</v>
      </c>
      <c r="K359" s="228">
        <f ca="1">BSL</f>
        <v>0</v>
      </c>
      <c r="L359" s="234"/>
      <c r="M359" s="234"/>
      <c r="N359" s="234"/>
      <c r="O359" s="234"/>
      <c r="P359" s="234">
        <v>0</v>
      </c>
      <c r="Q359" s="235" t="s">
        <v>250</v>
      </c>
    </row>
    <row r="360" spans="2:17" ht="20.100000000000001" customHeight="1">
      <c r="B360" s="230">
        <f t="shared" ref="B360:B370" si="7">+B359+1</f>
        <v>355</v>
      </c>
      <c r="C360" s="204">
        <f t="shared" ref="C360:C370" si="8">+C359+1</f>
        <v>44185</v>
      </c>
      <c r="D360" s="228">
        <f ca="1">JAD</f>
        <v>0</v>
      </c>
      <c r="E360" s="228">
        <f ca="1">JAL</f>
        <v>0</v>
      </c>
      <c r="F360" s="234"/>
      <c r="G360" s="234"/>
      <c r="H360" s="228">
        <f ca="1">BD</f>
        <v>0</v>
      </c>
      <c r="I360" s="228">
        <f ca="1">BL</f>
        <v>0</v>
      </c>
      <c r="J360" s="228">
        <f ca="1">BSD</f>
        <v>0</v>
      </c>
      <c r="K360" s="228">
        <f ca="1">BSL</f>
        <v>0</v>
      </c>
      <c r="L360" s="234"/>
      <c r="M360" s="234"/>
      <c r="N360" s="234"/>
      <c r="O360" s="234"/>
      <c r="P360" s="234">
        <v>0</v>
      </c>
      <c r="Q360" s="235" t="s">
        <v>218</v>
      </c>
    </row>
    <row r="361" spans="2:17" ht="20.100000000000001" customHeight="1">
      <c r="B361" s="230">
        <f t="shared" si="7"/>
        <v>356</v>
      </c>
      <c r="C361" s="204">
        <f t="shared" si="8"/>
        <v>44186</v>
      </c>
      <c r="D361" s="228">
        <f ca="1">JAD</f>
        <v>0</v>
      </c>
      <c r="E361" s="228">
        <f ca="1">JAL</f>
        <v>0</v>
      </c>
      <c r="F361" s="234"/>
      <c r="G361" s="234"/>
      <c r="H361" s="228">
        <f ca="1">BD</f>
        <v>0</v>
      </c>
      <c r="I361" s="228">
        <f ca="1">BL</f>
        <v>0</v>
      </c>
      <c r="J361" s="228">
        <f ca="1">BSD</f>
        <v>0</v>
      </c>
      <c r="K361" s="228">
        <f ca="1">BSL</f>
        <v>0</v>
      </c>
      <c r="L361" s="234"/>
      <c r="M361" s="234"/>
      <c r="N361" s="234"/>
      <c r="O361" s="234"/>
      <c r="P361" s="234">
        <v>0</v>
      </c>
      <c r="Q361" s="235" t="s">
        <v>122</v>
      </c>
    </row>
    <row r="362" spans="2:17" ht="20.100000000000001" customHeight="1">
      <c r="B362" s="230">
        <f t="shared" si="7"/>
        <v>357</v>
      </c>
      <c r="C362" s="204">
        <f t="shared" si="8"/>
        <v>44187</v>
      </c>
      <c r="D362" s="228">
        <f ca="1">JAD</f>
        <v>0</v>
      </c>
      <c r="E362" s="228">
        <f ca="1">JAL</f>
        <v>0</v>
      </c>
      <c r="F362" s="234"/>
      <c r="G362" s="234"/>
      <c r="H362" s="228">
        <f ca="1">BD</f>
        <v>0</v>
      </c>
      <c r="I362" s="228">
        <f ca="1">BL</f>
        <v>0</v>
      </c>
      <c r="J362" s="228">
        <f ca="1">BSD</f>
        <v>0</v>
      </c>
      <c r="K362" s="228">
        <f ca="1">BSL</f>
        <v>0</v>
      </c>
      <c r="L362" s="234"/>
      <c r="M362" s="234"/>
      <c r="N362" s="234"/>
      <c r="O362" s="234"/>
      <c r="P362" s="234">
        <v>0</v>
      </c>
      <c r="Q362" s="235" t="s">
        <v>250</v>
      </c>
    </row>
    <row r="363" spans="2:17" ht="20.100000000000001" customHeight="1">
      <c r="B363" s="230">
        <f t="shared" si="7"/>
        <v>358</v>
      </c>
      <c r="C363" s="204">
        <f t="shared" si="8"/>
        <v>44188</v>
      </c>
      <c r="D363" s="228">
        <f ca="1">JAD</f>
        <v>0</v>
      </c>
      <c r="E363" s="228">
        <f ca="1">JAL</f>
        <v>0</v>
      </c>
      <c r="F363" s="234"/>
      <c r="G363" s="234"/>
      <c r="H363" s="228">
        <f ca="1">BD</f>
        <v>0</v>
      </c>
      <c r="I363" s="228">
        <f ca="1">BL</f>
        <v>0</v>
      </c>
      <c r="J363" s="228">
        <f ca="1">BSD</f>
        <v>0</v>
      </c>
      <c r="K363" s="228">
        <f ca="1">BSL</f>
        <v>0</v>
      </c>
      <c r="L363" s="234"/>
      <c r="M363" s="234"/>
      <c r="N363" s="234"/>
      <c r="O363" s="234"/>
      <c r="P363" s="234">
        <v>0</v>
      </c>
      <c r="Q363" s="235" t="s">
        <v>122</v>
      </c>
    </row>
    <row r="364" spans="2:17" ht="20.100000000000001" customHeight="1">
      <c r="B364" s="230">
        <f t="shared" si="7"/>
        <v>359</v>
      </c>
      <c r="C364" s="204">
        <f t="shared" si="8"/>
        <v>44189</v>
      </c>
      <c r="D364" s="228">
        <f ca="1">JAD</f>
        <v>0</v>
      </c>
      <c r="E364" s="228">
        <f ca="1">JAL</f>
        <v>0</v>
      </c>
      <c r="F364" s="234"/>
      <c r="G364" s="234"/>
      <c r="H364" s="228">
        <f ca="1">BD</f>
        <v>0</v>
      </c>
      <c r="I364" s="228">
        <f ca="1">BL</f>
        <v>0</v>
      </c>
      <c r="J364" s="228">
        <f ca="1">BSD</f>
        <v>0</v>
      </c>
      <c r="K364" s="228">
        <f ca="1">BSL</f>
        <v>0</v>
      </c>
      <c r="L364" s="234"/>
      <c r="M364" s="234"/>
      <c r="N364" s="234"/>
      <c r="O364" s="234"/>
      <c r="P364" s="234">
        <v>0</v>
      </c>
      <c r="Q364" s="235" t="s">
        <v>250</v>
      </c>
    </row>
    <row r="365" spans="2:17" ht="20.100000000000001" customHeight="1">
      <c r="B365" s="230">
        <f t="shared" si="7"/>
        <v>360</v>
      </c>
      <c r="C365" s="204">
        <f t="shared" si="8"/>
        <v>44190</v>
      </c>
      <c r="D365" s="228">
        <f ca="1">JAD</f>
        <v>0</v>
      </c>
      <c r="E365" s="228">
        <f ca="1">JAL</f>
        <v>0</v>
      </c>
      <c r="F365" s="234"/>
      <c r="G365" s="234"/>
      <c r="H365" s="228">
        <f ca="1">BD</f>
        <v>0</v>
      </c>
      <c r="I365" s="228">
        <f ca="1">BL</f>
        <v>0</v>
      </c>
      <c r="J365" s="228">
        <f ca="1">BSD</f>
        <v>0</v>
      </c>
      <c r="K365" s="228">
        <f ca="1">BSL</f>
        <v>0</v>
      </c>
      <c r="L365" s="234"/>
      <c r="M365" s="234"/>
      <c r="N365" s="234"/>
      <c r="O365" s="234"/>
      <c r="P365" s="234">
        <v>0</v>
      </c>
      <c r="Q365" s="235" t="s">
        <v>250</v>
      </c>
    </row>
    <row r="366" spans="2:17" ht="20.100000000000001" customHeight="1">
      <c r="B366" s="230">
        <f t="shared" si="7"/>
        <v>361</v>
      </c>
      <c r="C366" s="204">
        <f t="shared" si="8"/>
        <v>44191</v>
      </c>
      <c r="D366" s="228">
        <f ca="1">JAD</f>
        <v>0</v>
      </c>
      <c r="E366" s="228">
        <f ca="1">JAL</f>
        <v>0</v>
      </c>
      <c r="F366" s="234"/>
      <c r="G366" s="234"/>
      <c r="H366" s="228">
        <f ca="1">BD</f>
        <v>0</v>
      </c>
      <c r="I366" s="228">
        <f ca="1">BL</f>
        <v>0</v>
      </c>
      <c r="J366" s="228">
        <f ca="1">BSD</f>
        <v>0</v>
      </c>
      <c r="K366" s="228">
        <f ca="1">BSL</f>
        <v>0</v>
      </c>
      <c r="L366" s="234"/>
      <c r="M366" s="234"/>
      <c r="N366" s="234"/>
      <c r="O366" s="234"/>
      <c r="P366" s="234">
        <v>0</v>
      </c>
      <c r="Q366" s="235" t="s">
        <v>250</v>
      </c>
    </row>
    <row r="367" spans="2:17" ht="20.100000000000001" customHeight="1">
      <c r="B367" s="230">
        <f t="shared" si="7"/>
        <v>362</v>
      </c>
      <c r="C367" s="204">
        <f t="shared" si="8"/>
        <v>44192</v>
      </c>
      <c r="D367" s="228">
        <f ca="1">JAD</f>
        <v>0</v>
      </c>
      <c r="E367" s="228">
        <f ca="1">JAL</f>
        <v>0</v>
      </c>
      <c r="F367" s="234"/>
      <c r="G367" s="234"/>
      <c r="H367" s="228">
        <f ca="1">BD</f>
        <v>0</v>
      </c>
      <c r="I367" s="228">
        <f ca="1">BL</f>
        <v>0</v>
      </c>
      <c r="J367" s="228">
        <f ca="1">BSD</f>
        <v>0</v>
      </c>
      <c r="K367" s="228">
        <f ca="1">BSL</f>
        <v>0</v>
      </c>
      <c r="L367" s="234"/>
      <c r="M367" s="234"/>
      <c r="N367" s="234"/>
      <c r="O367" s="234"/>
      <c r="P367" s="234">
        <v>0</v>
      </c>
      <c r="Q367" s="235" t="s">
        <v>250</v>
      </c>
    </row>
    <row r="368" spans="2:17" ht="20.100000000000001" customHeight="1">
      <c r="B368" s="230">
        <f t="shared" si="7"/>
        <v>363</v>
      </c>
      <c r="C368" s="204">
        <f t="shared" si="8"/>
        <v>44193</v>
      </c>
      <c r="D368" s="228">
        <f ca="1">JAD</f>
        <v>0</v>
      </c>
      <c r="E368" s="228">
        <f ca="1">JAL</f>
        <v>0</v>
      </c>
      <c r="F368" s="234"/>
      <c r="G368" s="234"/>
      <c r="H368" s="228">
        <f ca="1">BD</f>
        <v>0</v>
      </c>
      <c r="I368" s="228">
        <f ca="1">BL</f>
        <v>0</v>
      </c>
      <c r="J368" s="228">
        <f ca="1">BSD</f>
        <v>0</v>
      </c>
      <c r="K368" s="228">
        <f ca="1">BSL</f>
        <v>0</v>
      </c>
      <c r="L368" s="234"/>
      <c r="M368" s="234"/>
      <c r="N368" s="234"/>
      <c r="O368" s="234"/>
      <c r="P368" s="234">
        <v>0</v>
      </c>
      <c r="Q368" s="235" t="s">
        <v>250</v>
      </c>
    </row>
    <row r="369" spans="2:17" ht="20.100000000000001" customHeight="1">
      <c r="B369" s="230">
        <f t="shared" si="7"/>
        <v>364</v>
      </c>
      <c r="C369" s="204">
        <f t="shared" si="8"/>
        <v>44194</v>
      </c>
      <c r="D369" s="228">
        <f ca="1">JAD</f>
        <v>0</v>
      </c>
      <c r="E369" s="228">
        <f ca="1">JAL</f>
        <v>0</v>
      </c>
      <c r="F369" s="234"/>
      <c r="G369" s="234"/>
      <c r="H369" s="228">
        <f ca="1">BD</f>
        <v>0</v>
      </c>
      <c r="I369" s="228">
        <f ca="1">BL</f>
        <v>0</v>
      </c>
      <c r="J369" s="228">
        <f ca="1">BSD</f>
        <v>0</v>
      </c>
      <c r="K369" s="228">
        <f ca="1">BSL</f>
        <v>0</v>
      </c>
      <c r="L369" s="234"/>
      <c r="M369" s="234"/>
      <c r="N369" s="234"/>
      <c r="O369" s="234"/>
      <c r="P369" s="234">
        <v>0</v>
      </c>
      <c r="Q369" s="235" t="s">
        <v>250</v>
      </c>
    </row>
    <row r="370" spans="2:17" ht="20.100000000000001" customHeight="1">
      <c r="B370" s="230">
        <f t="shared" si="7"/>
        <v>365</v>
      </c>
      <c r="C370" s="204">
        <f t="shared" si="8"/>
        <v>44195</v>
      </c>
      <c r="D370" s="228">
        <f ca="1">JAD</f>
        <v>0</v>
      </c>
      <c r="E370" s="228">
        <f ca="1">JAL</f>
        <v>0</v>
      </c>
      <c r="F370" s="234"/>
      <c r="G370" s="234"/>
      <c r="H370" s="228">
        <f ca="1">BD</f>
        <v>0</v>
      </c>
      <c r="I370" s="228">
        <f ca="1">BL</f>
        <v>0</v>
      </c>
      <c r="J370" s="228">
        <f ca="1">BSD</f>
        <v>0</v>
      </c>
      <c r="K370" s="228">
        <f ca="1">BSL</f>
        <v>0</v>
      </c>
      <c r="L370" s="234"/>
      <c r="M370" s="234"/>
      <c r="N370" s="234"/>
      <c r="O370" s="234"/>
      <c r="P370" s="234">
        <v>0</v>
      </c>
      <c r="Q370" s="235" t="s">
        <v>250</v>
      </c>
    </row>
    <row r="371" spans="2:17" ht="22.5" customHeight="1">
      <c r="B371" s="542" t="s">
        <v>234</v>
      </c>
      <c r="C371" s="543"/>
      <c r="D371" s="544">
        <f ca="1">SUBTOTAL(109,[jdarat])</f>
        <v>3505750</v>
      </c>
      <c r="E371" s="544">
        <f ca="1">SUBTOTAL(109,[jlaut])</f>
        <v>5829530</v>
      </c>
      <c r="F371" s="545">
        <f>SUBTOTAL(109,[gdarat])</f>
        <v>0</v>
      </c>
      <c r="G371" s="545">
        <f>SUBTOTAL(109,[glaut])</f>
        <v>0</v>
      </c>
      <c r="H371" s="544">
        <f ca="1">SUBTOTAL(109,[bdarat])</f>
        <v>0</v>
      </c>
      <c r="I371" s="544">
        <f ca="1">SUBTOTAL(109,[blaut])</f>
        <v>0</v>
      </c>
      <c r="J371" s="544">
        <f ca="1">SUBTOTAL(109,[bsdarat])</f>
        <v>0</v>
      </c>
      <c r="K371" s="544">
        <f ca="1">SUBTOTAL(109,[bslaut])</f>
        <v>0</v>
      </c>
      <c r="L371" s="546">
        <f>SUBTOTAL(109,[kkupas])</f>
        <v>2470</v>
      </c>
      <c r="M371" s="546">
        <f>SUBTOTAL(109,[krdarat])</f>
        <v>0</v>
      </c>
      <c r="N371" s="546">
        <f>SUBTOTAL(109,[krlaut])</f>
        <v>0</v>
      </c>
      <c r="O371" s="546">
        <f>SUBTOTAL(109,[kmp2])</f>
        <v>0</v>
      </c>
      <c r="P371" s="546">
        <f>SUBTOTAL(109,[kbisk])</f>
        <v>0</v>
      </c>
      <c r="Q371" s="547"/>
    </row>
    <row r="382" spans="2:17">
      <c r="J382">
        <f>2840</f>
        <v>2840</v>
      </c>
    </row>
  </sheetData>
  <sheetProtection sort="0" autoFilter="0"/>
  <mergeCells count="12">
    <mergeCell ref="Q2:Q4"/>
    <mergeCell ref="O2:O4"/>
    <mergeCell ref="P2:P4"/>
    <mergeCell ref="B2:B4"/>
    <mergeCell ref="C2:C4"/>
    <mergeCell ref="M2:N3"/>
    <mergeCell ref="D2:K2"/>
    <mergeCell ref="D3:E3"/>
    <mergeCell ref="F3:G3"/>
    <mergeCell ref="H3:I3"/>
    <mergeCell ref="J3:K3"/>
    <mergeCell ref="L2:L4"/>
  </mergeCells>
  <conditionalFormatting sqref="C6:C370">
    <cfRule type="expression" dxfId="28" priority="2">
      <formula>IF(TEXT(C6,"[$-21]dddd;@")="Sabtu",TRUE,FALSE)</formula>
    </cfRule>
  </conditionalFormatting>
  <conditionalFormatting sqref="Q6:Q370">
    <cfRule type="expression" dxfId="27" priority="1">
      <formula>IF(Q6="Rudi",TRUE,FALSE)</formula>
    </cfRule>
  </conditionalFormatting>
  <pageMargins left="0.7" right="0.7" top="0.75" bottom="0.75" header="0.3" footer="0.3"/>
  <pageSetup scale="55" orientation="landscape" horizontalDpi="180" verticalDpi="18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>
    <tabColor rgb="FFFFFF00"/>
  </sheetPr>
  <dimension ref="A1:R62"/>
  <sheetViews>
    <sheetView showGridLines="0" view="pageBreakPreview" zoomScaleNormal="55" zoomScaleSheetLayoutView="100" workbookViewId="0">
      <selection activeCell="G12" sqref="G12"/>
    </sheetView>
  </sheetViews>
  <sheetFormatPr defaultColWidth="8.28515625" defaultRowHeight="16.5"/>
  <cols>
    <col min="1" max="1" width="1.28515625" style="1" customWidth="1"/>
    <col min="2" max="2" width="1.28515625" customWidth="1"/>
    <col min="3" max="3" width="4.5703125" style="1" customWidth="1"/>
    <col min="4" max="4" width="10.140625" style="1" customWidth="1"/>
    <col min="5" max="5" width="16.28515625" style="1" customWidth="1"/>
    <col min="6" max="6" width="3.85546875" style="1" customWidth="1"/>
    <col min="7" max="7" width="16.42578125" style="114" customWidth="1"/>
    <col min="8" max="8" width="1.5703125" style="114" customWidth="1"/>
    <col min="9" max="9" width="19.140625" style="114" customWidth="1"/>
    <col min="10" max="10" width="8.140625" style="1" customWidth="1"/>
    <col min="11" max="11" width="1.5703125" style="1" customWidth="1"/>
    <col min="12" max="12" width="9.5703125" style="1" customWidth="1"/>
    <col min="13" max="13" width="19.42578125" style="1" customWidth="1"/>
    <col min="14" max="14" width="1.28515625" style="1" customWidth="1"/>
    <col min="15" max="16" width="7.42578125" style="1" customWidth="1"/>
    <col min="17" max="17" width="12.140625" style="390" customWidth="1"/>
    <col min="18" max="18" width="7.7109375" style="1" customWidth="1"/>
    <col min="19" max="16384" width="8.28515625" style="1"/>
  </cols>
  <sheetData>
    <row r="1" spans="1:18" ht="15" customHeight="1">
      <c r="M1" s="232"/>
      <c r="Q1" s="389"/>
    </row>
    <row r="2" spans="1:18" ht="12.75" customHeight="1">
      <c r="C2" s="578" t="s">
        <v>0</v>
      </c>
      <c r="D2" s="579"/>
      <c r="E2" s="582" t="s">
        <v>1</v>
      </c>
      <c r="F2" s="583"/>
      <c r="G2" s="583"/>
      <c r="H2" s="583"/>
      <c r="I2" s="583"/>
      <c r="J2" s="584"/>
      <c r="K2" s="2" t="s">
        <v>126</v>
      </c>
      <c r="L2" s="146"/>
      <c r="M2" s="150" t="str">
        <f>TEXT(DAY(M3),"00")&amp;"/LH-RMP/"&amp;ROMAN(MONTH(M3))&amp;"/"&amp;YEAR(M3)</f>
        <v>31/LH-RMP/III/2020</v>
      </c>
      <c r="Q2" s="394" t="s">
        <v>284</v>
      </c>
      <c r="R2" s="392">
        <v>2020</v>
      </c>
    </row>
    <row r="3" spans="1:18" ht="12" customHeight="1">
      <c r="C3" s="580"/>
      <c r="D3" s="581"/>
      <c r="E3" s="585"/>
      <c r="F3" s="586"/>
      <c r="G3" s="586"/>
      <c r="H3" s="586"/>
      <c r="I3" s="586"/>
      <c r="J3" s="587"/>
      <c r="K3" s="2" t="s">
        <v>127</v>
      </c>
      <c r="L3" s="146"/>
      <c r="M3" s="266">
        <f>DATE(R2,R4,R5)</f>
        <v>43921</v>
      </c>
      <c r="Q3" s="394"/>
      <c r="R3" s="392"/>
    </row>
    <row r="4" spans="1:18" ht="16.5" customHeight="1">
      <c r="C4" s="588" t="s">
        <v>2</v>
      </c>
      <c r="D4" s="589"/>
      <c r="E4" s="588" t="s">
        <v>3</v>
      </c>
      <c r="F4" s="590"/>
      <c r="G4" s="590"/>
      <c r="H4" s="590"/>
      <c r="I4" s="590"/>
      <c r="J4" s="589"/>
      <c r="K4" s="2" t="s">
        <v>128</v>
      </c>
      <c r="L4" s="146"/>
      <c r="M4" s="150" t="s">
        <v>129</v>
      </c>
      <c r="Q4" s="395" t="s">
        <v>285</v>
      </c>
      <c r="R4" s="393">
        <v>3</v>
      </c>
    </row>
    <row r="5" spans="1:18" s="3" customFormat="1" ht="17.25" customHeight="1">
      <c r="C5" s="591" t="s">
        <v>4</v>
      </c>
      <c r="D5" s="592"/>
      <c r="E5" s="592"/>
      <c r="F5" s="593"/>
      <c r="G5" s="115" t="s">
        <v>90</v>
      </c>
      <c r="H5" s="594" t="s">
        <v>89</v>
      </c>
      <c r="I5" s="595"/>
      <c r="J5" s="596"/>
      <c r="K5" s="597"/>
      <c r="L5" s="597"/>
      <c r="M5" s="598"/>
      <c r="Q5" s="609" t="s">
        <v>286</v>
      </c>
      <c r="R5" s="607">
        <v>31</v>
      </c>
    </row>
    <row r="6" spans="1:18" s="3" customFormat="1" ht="14.1" customHeight="1">
      <c r="C6" s="76" t="s">
        <v>7</v>
      </c>
      <c r="D6" s="77"/>
      <c r="E6" s="77"/>
      <c r="F6" s="59"/>
      <c r="G6" s="116"/>
      <c r="H6" s="106"/>
      <c r="I6" s="117"/>
      <c r="J6" s="52"/>
      <c r="K6" s="57"/>
      <c r="L6" s="57"/>
      <c r="M6" s="58"/>
      <c r="Q6" s="610"/>
      <c r="R6" s="608"/>
    </row>
    <row r="7" spans="1:18" s="3" customFormat="1" ht="14.1" customHeight="1">
      <c r="A7" s="3">
        <v>2</v>
      </c>
      <c r="C7" s="78" t="s">
        <v>8</v>
      </c>
      <c r="D7" s="79" t="s">
        <v>80</v>
      </c>
      <c r="E7" s="79"/>
      <c r="F7" s="60"/>
      <c r="G7" s="111">
        <f ca="1">IFERROR(VLOOKUP($M$3,DBLH[[tanggal]:[kbisk]],A7,FALSE),0)</f>
        <v>0</v>
      </c>
      <c r="H7" s="113"/>
      <c r="I7" s="118">
        <f ca="1">SUMIFS(DBLH[jdarat],DBLH[tanggal],"&lt;="&amp;DATE(YEAR($M$3),MONTH($M$3),DAY($M$3)),DBLH[tanggal],"&gt;="&amp;DATE(YEAR($M$3),MONTH($M$3),1))</f>
        <v>1076900</v>
      </c>
      <c r="J7" s="56"/>
      <c r="K7" s="49"/>
      <c r="L7" s="147"/>
      <c r="M7" s="48"/>
      <c r="Q7" s="609" t="s">
        <v>287</v>
      </c>
      <c r="R7" s="607">
        <v>1</v>
      </c>
    </row>
    <row r="8" spans="1:18" s="3" customFormat="1" ht="14.1" customHeight="1">
      <c r="A8" s="3">
        <v>3</v>
      </c>
      <c r="C8" s="78"/>
      <c r="D8" s="79" t="s">
        <v>79</v>
      </c>
      <c r="E8" s="79"/>
      <c r="F8" s="60"/>
      <c r="G8" s="111">
        <f ca="1">IFERROR(VLOOKUP($M$3,DBLH[[tanggal]:[kbisk]],A8,FALSE),0)</f>
        <v>0</v>
      </c>
      <c r="H8" s="119"/>
      <c r="I8" s="120">
        <f ca="1">SUMIFS(DBLH[jlaut],DBLH[tanggal],"&lt;="&amp;DATE(YEAR($M$3),MONTH($M$3),DAY($M$3)),DBLH[tanggal],"&gt;="&amp;DATE(YEAR($M$3),MONTH($M$3),1))</f>
        <v>803350</v>
      </c>
      <c r="J8" s="53"/>
      <c r="K8" s="49"/>
      <c r="L8" s="147"/>
      <c r="M8" s="48"/>
      <c r="Q8" s="610"/>
      <c r="R8" s="608"/>
    </row>
    <row r="9" spans="1:18" s="3" customFormat="1" ht="14.1" customHeight="1">
      <c r="A9" s="3">
        <v>4</v>
      </c>
      <c r="C9" s="78" t="s">
        <v>9</v>
      </c>
      <c r="D9" s="79" t="s">
        <v>81</v>
      </c>
      <c r="E9" s="79"/>
      <c r="F9" s="60"/>
      <c r="G9" s="111">
        <f>IFERROR(VLOOKUP($M$3,DBLH[[tanggal]:[kbisk]],A9,FALSE),0)</f>
        <v>0</v>
      </c>
      <c r="H9" s="113"/>
      <c r="I9" s="120">
        <f>SUMIFS(DBLH[gdarat],DBLH[tanggal],"&lt;="&amp;DATE(YEAR($M$3),MONTH($M$3),DAY($M$3)),DBLH[tanggal],"&gt;="&amp;DATE(YEAR($M$3),MONTH($M$3),1))</f>
        <v>0</v>
      </c>
      <c r="J9" s="97"/>
      <c r="K9" s="49"/>
      <c r="L9" s="147"/>
      <c r="M9" s="48"/>
      <c r="Q9" s="391"/>
      <c r="R9" s="388"/>
    </row>
    <row r="10" spans="1:18" s="3" customFormat="1" ht="14.1" customHeight="1">
      <c r="A10" s="3">
        <v>5</v>
      </c>
      <c r="C10" s="78"/>
      <c r="D10" s="79" t="s">
        <v>82</v>
      </c>
      <c r="E10" s="79"/>
      <c r="F10" s="60"/>
      <c r="G10" s="111">
        <f>IFERROR(VLOOKUP($M$3,DBLH[[tanggal]:[kbisk]],A10,FALSE),0)</f>
        <v>0</v>
      </c>
      <c r="H10" s="113"/>
      <c r="I10" s="120">
        <f>SUMIFS(DBLH[glaut],DBLH[tanggal],"&lt;="&amp;DATE(YEAR($M$3),MONTH($M$3),DAY($M$3)),DBLH[tanggal],"&gt;="&amp;DATE(YEAR($M$3),MONTH($M$3),1))</f>
        <v>0</v>
      </c>
      <c r="J10" s="97"/>
      <c r="K10" s="49"/>
      <c r="L10" s="147"/>
      <c r="M10" s="48"/>
      <c r="Q10" s="391"/>
      <c r="R10" s="388"/>
    </row>
    <row r="11" spans="1:18" s="3" customFormat="1" ht="14.1" customHeight="1">
      <c r="C11" s="78"/>
      <c r="D11" s="80" t="s">
        <v>85</v>
      </c>
      <c r="E11" s="81"/>
      <c r="F11" s="61"/>
      <c r="G11" s="121">
        <f ca="1">SUM(G7:G10)</f>
        <v>0</v>
      </c>
      <c r="H11" s="121"/>
      <c r="I11" s="122">
        <f ca="1">SUM(I7:I10)</f>
        <v>1880250</v>
      </c>
      <c r="J11" s="98"/>
      <c r="K11" s="54"/>
      <c r="L11" s="148"/>
      <c r="M11" s="48"/>
      <c r="Q11" s="391"/>
      <c r="R11" s="388"/>
    </row>
    <row r="12" spans="1:18" s="3" customFormat="1" ht="14.1" customHeight="1">
      <c r="A12" s="3">
        <v>6</v>
      </c>
      <c r="C12" s="78" t="s">
        <v>52</v>
      </c>
      <c r="D12" s="79" t="s">
        <v>93</v>
      </c>
      <c r="E12" s="79"/>
      <c r="F12" s="60"/>
      <c r="G12" s="111">
        <f ca="1">IFERROR(VLOOKUP($M$3,DBLH[[tanggal]:[kbisk]],A12,FALSE),0)</f>
        <v>0</v>
      </c>
      <c r="H12" s="119"/>
      <c r="I12" s="120">
        <f ca="1">SUMIFS(DBLH[bdarat],DBLH[tanggal],"&lt;="&amp;DATE(YEAR($M$3),MONTH($M$3),DAY($M$3)),DBLH[tanggal],"&gt;="&amp;DATE(YEAR($M$3),MONTH($M$3),1))</f>
        <v>0</v>
      </c>
      <c r="J12" s="97"/>
      <c r="K12" s="49"/>
      <c r="L12" s="147"/>
      <c r="M12" s="48"/>
      <c r="R12" s="388"/>
    </row>
    <row r="13" spans="1:18" s="3" customFormat="1" ht="14.1" customHeight="1">
      <c r="A13" s="3">
        <v>7</v>
      </c>
      <c r="C13" s="78"/>
      <c r="D13" s="79" t="s">
        <v>94</v>
      </c>
      <c r="E13" s="79"/>
      <c r="F13" s="60"/>
      <c r="G13" s="111">
        <f ca="1">IFERROR(VLOOKUP($M$3,DBLH[[tanggal]:[kbisk]],A13,FALSE),0)</f>
        <v>0</v>
      </c>
      <c r="H13" s="113"/>
      <c r="I13" s="120">
        <f ca="1">SUMIFS(DBLH[blaut],DBLH[tanggal],"&lt;="&amp;DATE(YEAR($M$3),MONTH($M$3),DAY($M$3)),DBLH[tanggal],"&gt;="&amp;DATE(YEAR($M$3),MONTH($M$3),1))</f>
        <v>0</v>
      </c>
      <c r="J13" s="97"/>
      <c r="K13" s="49"/>
      <c r="L13" s="147"/>
      <c r="M13" s="48"/>
      <c r="R13" s="388"/>
    </row>
    <row r="14" spans="1:18" s="3" customFormat="1" ht="14.1" customHeight="1">
      <c r="C14" s="78"/>
      <c r="D14" s="80" t="s">
        <v>86</v>
      </c>
      <c r="E14" s="81"/>
      <c r="F14" s="61"/>
      <c r="G14" s="121">
        <f ca="1">SUM(G12:G13)</f>
        <v>0</v>
      </c>
      <c r="H14" s="121"/>
      <c r="I14" s="122">
        <f ca="1">SUM(I12:I13)</f>
        <v>0</v>
      </c>
      <c r="J14" s="98"/>
      <c r="K14" s="55"/>
      <c r="L14" s="149"/>
      <c r="M14" s="48"/>
    </row>
    <row r="15" spans="1:18" s="3" customFormat="1" ht="14.1" hidden="1" customHeight="1">
      <c r="C15" s="82"/>
      <c r="D15" s="79"/>
      <c r="E15" s="79"/>
      <c r="F15" s="60"/>
      <c r="G15" s="123"/>
      <c r="H15" s="123"/>
      <c r="I15" s="124"/>
      <c r="J15" s="51"/>
      <c r="K15" s="49"/>
      <c r="L15" s="147"/>
      <c r="M15" s="48"/>
    </row>
    <row r="16" spans="1:18" s="3" customFormat="1" ht="14.1" customHeight="1">
      <c r="C16" s="86"/>
      <c r="D16" s="87" t="s">
        <v>87</v>
      </c>
      <c r="E16" s="87"/>
      <c r="F16" s="88"/>
      <c r="G16" s="125">
        <f ca="1">SUM(G14+G11)</f>
        <v>0</v>
      </c>
      <c r="H16" s="125"/>
      <c r="I16" s="126">
        <f ca="1">+I14+I11</f>
        <v>1880250</v>
      </c>
      <c r="J16" s="50"/>
      <c r="K16" s="49"/>
      <c r="L16" s="147"/>
      <c r="M16" s="48"/>
    </row>
    <row r="17" spans="1:18" s="3" customFormat="1" ht="14.1" customHeight="1">
      <c r="A17" s="3">
        <v>8</v>
      </c>
      <c r="C17" s="82">
        <v>1.4</v>
      </c>
      <c r="D17" s="79" t="s">
        <v>104</v>
      </c>
      <c r="E17" s="79"/>
      <c r="F17" s="62"/>
      <c r="G17" s="111">
        <f ca="1">IFERROR(VLOOKUP($M$3,DBLH[[tanggal]:[kbisk]],A17,FALSE),0)</f>
        <v>0</v>
      </c>
      <c r="H17" s="107"/>
      <c r="I17" s="127">
        <f ca="1">SUMIFS(DBLH[bsdarat],DBLH[tanggal],"&lt;="&amp;DATE(YEAR($M$3),MONTH($M$3),DAY($M$3)),DBLH[tanggal],"&gt;="&amp;DATE(YEAR($M$3),MONTH($M$3),1))</f>
        <v>0</v>
      </c>
      <c r="J17" s="50"/>
      <c r="K17" s="49"/>
      <c r="L17" s="147"/>
      <c r="M17" s="48"/>
    </row>
    <row r="18" spans="1:18" s="3" customFormat="1" ht="14.1" customHeight="1">
      <c r="A18" s="3">
        <v>9</v>
      </c>
      <c r="C18" s="82"/>
      <c r="D18" s="79" t="s">
        <v>104</v>
      </c>
      <c r="E18" s="79"/>
      <c r="F18" s="62"/>
      <c r="G18" s="111">
        <f ca="1">IFERROR(VLOOKUP($M$3,DBLH[[tanggal]:[kbisk]],A18,FALSE),0)</f>
        <v>0</v>
      </c>
      <c r="H18" s="113"/>
      <c r="I18" s="118">
        <f ca="1">SUMIFS(DBLH[bslaut],DBLH[tanggal],"&lt;="&amp;DATE(YEAR($M$3),MONTH($M$3),DAY($M$3)),DBLH[tanggal],"&gt;="&amp;DATE(YEAR($M$3),MONTH($M$3),1))</f>
        <v>0</v>
      </c>
      <c r="J18" s="99"/>
      <c r="K18" s="49"/>
      <c r="L18" s="147"/>
      <c r="M18" s="48"/>
    </row>
    <row r="19" spans="1:18" s="3" customFormat="1" ht="14.1" customHeight="1">
      <c r="C19" s="82"/>
      <c r="D19" s="80" t="s">
        <v>88</v>
      </c>
      <c r="E19" s="81"/>
      <c r="F19" s="61"/>
      <c r="G19" s="121">
        <f ca="1">G17+G18</f>
        <v>0</v>
      </c>
      <c r="H19" s="121"/>
      <c r="I19" s="122">
        <f ca="1">SUM(I17:I18)</f>
        <v>0</v>
      </c>
      <c r="J19" s="268"/>
      <c r="K19" s="269"/>
      <c r="L19" s="269"/>
      <c r="M19" s="270"/>
    </row>
    <row r="20" spans="1:18" s="3" customFormat="1" ht="14.1" customHeight="1">
      <c r="C20" s="271"/>
      <c r="D20" s="275" t="s">
        <v>227</v>
      </c>
      <c r="E20" s="276"/>
      <c r="F20" s="277"/>
      <c r="G20" s="278">
        <f ca="1">G19+G16</f>
        <v>0</v>
      </c>
      <c r="H20" s="279"/>
      <c r="I20" s="280">
        <f ca="1">I19+I16</f>
        <v>1880250</v>
      </c>
      <c r="J20" s="272"/>
      <c r="K20" s="273"/>
      <c r="L20" s="273"/>
      <c r="M20" s="274"/>
    </row>
    <row r="21" spans="1:18" s="3" customFormat="1" ht="20.25" customHeight="1">
      <c r="C21" s="63" t="s">
        <v>83</v>
      </c>
      <c r="D21" s="64"/>
      <c r="E21" s="64"/>
      <c r="F21" s="64"/>
      <c r="G21" s="108" t="s">
        <v>90</v>
      </c>
      <c r="H21" s="109"/>
      <c r="I21" s="110" t="s">
        <v>89</v>
      </c>
      <c r="J21" s="6"/>
      <c r="K21" s="144"/>
      <c r="L21" s="144"/>
      <c r="M21" s="145"/>
    </row>
    <row r="22" spans="1:18" s="3" customFormat="1" ht="14.1" customHeight="1">
      <c r="A22" s="3">
        <v>10</v>
      </c>
      <c r="C22" s="83" t="s">
        <v>84</v>
      </c>
      <c r="D22" s="84"/>
      <c r="E22" s="85"/>
      <c r="F22" s="65"/>
      <c r="G22" s="111">
        <f>IFERROR(VLOOKUP($M$3,DBLH[[tanggal]:[kbisk]],A22,FALSE),0)</f>
        <v>0</v>
      </c>
      <c r="H22" s="112"/>
      <c r="I22" s="177">
        <f>SUMIFS(DBLH[kkupas],DBLH[tanggal],"&lt;="&amp;DATE(YEAR($M$3),MONTH($M$3),DAY($M$3)),DBLH[tanggal],"&gt;="&amp;DATE(YEAR($M$3),MONTH($M$3),1))</f>
        <v>0</v>
      </c>
      <c r="J22" s="174"/>
      <c r="K22" s="175"/>
      <c r="L22" s="176"/>
      <c r="M22" s="20"/>
    </row>
    <row r="23" spans="1:18" s="3" customFormat="1" ht="14.1" customHeight="1">
      <c r="A23" s="3">
        <v>11</v>
      </c>
      <c r="C23" s="151" t="s">
        <v>108</v>
      </c>
      <c r="D23" s="152"/>
      <c r="E23" s="153"/>
      <c r="F23" s="154"/>
      <c r="G23" s="111">
        <f>IFERROR(VLOOKUP($M$3,DBLH[[tanggal]:[kbisk]],A23,FALSE),0)</f>
        <v>0</v>
      </c>
      <c r="H23" s="143"/>
      <c r="I23" s="178">
        <f>SUMIFS(DBLH[krdarat],DBLH[tanggal],"&lt;="&amp;DATE(YEAR($M$3),MONTH($M$3),DAY($M$3)),DBLH[tanggal],"&gt;="&amp;DATE(YEAR($M$3),MONTH($M$3),1))</f>
        <v>0</v>
      </c>
      <c r="J23" s="171"/>
      <c r="K23" s="172"/>
      <c r="L23" s="173"/>
      <c r="M23" s="185"/>
    </row>
    <row r="24" spans="1:18" s="3" customFormat="1" ht="14.1" customHeight="1">
      <c r="A24" s="3">
        <v>12</v>
      </c>
      <c r="C24" s="151" t="s">
        <v>106</v>
      </c>
      <c r="D24" s="152"/>
      <c r="E24" s="153"/>
      <c r="F24" s="154"/>
      <c r="G24" s="111">
        <f>IFERROR(VLOOKUP($M$3,DBLH[[tanggal]:[kbisk]],A24,FALSE),0)</f>
        <v>0</v>
      </c>
      <c r="H24" s="143"/>
      <c r="I24" s="178">
        <f>SUMIFS(DBLH[krlaut],DBLH[tanggal],"&lt;="&amp;DATE(YEAR($M$3),MONTH($M$3),DAY($M$3)),DBLH[tanggal],"&gt;="&amp;DATE(YEAR($M$3),MONTH($M$3),1))</f>
        <v>0</v>
      </c>
      <c r="J24" s="171"/>
      <c r="K24" s="172"/>
      <c r="L24" s="173"/>
      <c r="M24" s="185"/>
    </row>
    <row r="25" spans="1:18" s="3" customFormat="1" ht="14.1" customHeight="1">
      <c r="A25" s="3">
        <v>13</v>
      </c>
      <c r="C25" s="151" t="s">
        <v>107</v>
      </c>
      <c r="D25" s="152"/>
      <c r="E25" s="153"/>
      <c r="F25" s="154"/>
      <c r="G25" s="111">
        <f>IFERROR(VLOOKUP($M$3,DBLH[[tanggal]:[kbisk]],A25,FALSE),0)</f>
        <v>0</v>
      </c>
      <c r="H25" s="143"/>
      <c r="I25" s="178">
        <f>SUMIFS(DBLH[kmp2],DBLH[tanggal],"&lt;="&amp;DATE(YEAR($M$3),MONTH($M$3),DAY($M$3)),DBLH[tanggal],"&gt;="&amp;DATE(YEAR($M$3),MONTH($M$3),1))</f>
        <v>0</v>
      </c>
      <c r="J25" s="171"/>
      <c r="K25" s="172"/>
      <c r="L25" s="173"/>
      <c r="M25" s="185"/>
    </row>
    <row r="26" spans="1:18" s="3" customFormat="1" ht="14.1" hidden="1" customHeight="1">
      <c r="A26" s="3">
        <v>14</v>
      </c>
      <c r="C26" s="151" t="s">
        <v>231</v>
      </c>
      <c r="D26" s="152"/>
      <c r="E26" s="153"/>
      <c r="F26" s="154"/>
      <c r="G26" s="111"/>
      <c r="H26" s="143"/>
      <c r="I26" s="178"/>
      <c r="J26" s="171"/>
      <c r="K26" s="172"/>
      <c r="L26" s="173"/>
      <c r="M26" s="185"/>
    </row>
    <row r="27" spans="1:18" s="3" customFormat="1" ht="14.1" hidden="1" customHeight="1">
      <c r="C27" s="68" t="s">
        <v>91</v>
      </c>
      <c r="D27" s="69"/>
      <c r="E27" s="69"/>
      <c r="F27" s="69"/>
      <c r="G27" s="128" t="s">
        <v>11</v>
      </c>
      <c r="H27" s="128" t="s">
        <v>12</v>
      </c>
      <c r="I27" s="179" t="s">
        <v>13</v>
      </c>
      <c r="J27" s="189" t="s">
        <v>14</v>
      </c>
      <c r="K27" s="190" t="s">
        <v>11</v>
      </c>
      <c r="L27" s="190"/>
      <c r="M27" s="189" t="s">
        <v>14</v>
      </c>
    </row>
    <row r="28" spans="1:18" s="3" customFormat="1" ht="14.1" hidden="1" customHeight="1">
      <c r="C28" s="70" t="s">
        <v>15</v>
      </c>
      <c r="D28" s="71" t="s">
        <v>16</v>
      </c>
      <c r="E28" s="71"/>
      <c r="F28" s="71"/>
      <c r="G28" s="130"/>
      <c r="H28" s="131"/>
      <c r="I28" s="180"/>
      <c r="J28" s="191"/>
      <c r="K28" s="191"/>
      <c r="L28" s="191"/>
      <c r="M28" s="191"/>
    </row>
    <row r="29" spans="1:18" s="3" customFormat="1" ht="14.1" hidden="1" customHeight="1">
      <c r="C29" s="70"/>
      <c r="D29" s="71" t="s">
        <v>17</v>
      </c>
      <c r="E29" s="71"/>
      <c r="F29" s="71"/>
      <c r="G29" s="130"/>
      <c r="H29" s="131"/>
      <c r="I29" s="180"/>
      <c r="J29" s="191"/>
      <c r="K29" s="191"/>
      <c r="L29" s="191"/>
      <c r="M29" s="191"/>
    </row>
    <row r="30" spans="1:18" s="9" customFormat="1" ht="14.1" hidden="1" customHeight="1">
      <c r="C30" s="72"/>
      <c r="D30" s="73" t="s">
        <v>18</v>
      </c>
      <c r="E30" s="73"/>
      <c r="F30" s="73"/>
      <c r="G30" s="128"/>
      <c r="H30" s="128"/>
      <c r="I30" s="181"/>
      <c r="J30" s="190"/>
      <c r="K30" s="190"/>
      <c r="L30" s="190"/>
      <c r="M30" s="192"/>
      <c r="Q30" s="3"/>
      <c r="R30" s="3"/>
    </row>
    <row r="31" spans="1:18" s="9" customFormat="1" ht="14.1" hidden="1" customHeight="1">
      <c r="C31" s="72"/>
      <c r="D31" s="73"/>
      <c r="E31" s="73"/>
      <c r="F31" s="73"/>
      <c r="G31" s="128" t="s">
        <v>5</v>
      </c>
      <c r="H31" s="129"/>
      <c r="I31" s="179"/>
      <c r="J31" s="186" t="s">
        <v>6</v>
      </c>
      <c r="K31" s="187"/>
      <c r="L31" s="187"/>
      <c r="M31" s="188"/>
      <c r="Q31" s="3"/>
      <c r="R31" s="3"/>
    </row>
    <row r="32" spans="1:18" s="9" customFormat="1" ht="14.1" hidden="1" customHeight="1">
      <c r="C32" s="72"/>
      <c r="D32" s="73"/>
      <c r="E32" s="73"/>
      <c r="F32" s="73"/>
      <c r="G32" s="128" t="s">
        <v>11</v>
      </c>
      <c r="H32" s="128" t="s">
        <v>12</v>
      </c>
      <c r="I32" s="179" t="s">
        <v>14</v>
      </c>
      <c r="J32" s="190" t="s">
        <v>11</v>
      </c>
      <c r="K32" s="189" t="s">
        <v>19</v>
      </c>
      <c r="L32" s="189"/>
      <c r="M32" s="189" t="s">
        <v>14</v>
      </c>
      <c r="Q32" s="3"/>
      <c r="R32" s="3"/>
    </row>
    <row r="33" spans="3:18" s="3" customFormat="1" ht="14.1" hidden="1" customHeight="1">
      <c r="C33" s="70" t="s">
        <v>20</v>
      </c>
      <c r="D33" s="71" t="s">
        <v>21</v>
      </c>
      <c r="E33" s="71"/>
      <c r="F33" s="71"/>
      <c r="G33" s="130"/>
      <c r="H33" s="131"/>
      <c r="I33" s="182"/>
      <c r="J33" s="191"/>
      <c r="K33" s="191"/>
      <c r="L33" s="191"/>
      <c r="M33" s="191"/>
      <c r="Q33" s="9"/>
      <c r="R33" s="9"/>
    </row>
    <row r="34" spans="3:18" s="3" customFormat="1" ht="14.1" hidden="1" customHeight="1">
      <c r="C34" s="70" t="s">
        <v>22</v>
      </c>
      <c r="D34" s="71" t="s">
        <v>23</v>
      </c>
      <c r="E34" s="71"/>
      <c r="F34" s="71"/>
      <c r="G34" s="130"/>
      <c r="H34" s="131"/>
      <c r="I34" s="180"/>
      <c r="J34" s="191"/>
      <c r="K34" s="191"/>
      <c r="L34" s="191"/>
      <c r="M34" s="191"/>
      <c r="Q34" s="9"/>
      <c r="R34" s="9"/>
    </row>
    <row r="35" spans="3:18" s="3" customFormat="1" ht="14.1" hidden="1" customHeight="1">
      <c r="C35" s="70" t="s">
        <v>24</v>
      </c>
      <c r="D35" s="71" t="s">
        <v>25</v>
      </c>
      <c r="E35" s="71"/>
      <c r="F35" s="71"/>
      <c r="G35" s="130"/>
      <c r="H35" s="131"/>
      <c r="I35" s="180"/>
      <c r="J35" s="191"/>
      <c r="K35" s="191"/>
      <c r="L35" s="191"/>
      <c r="M35" s="191"/>
      <c r="Q35" s="9"/>
      <c r="R35" s="9"/>
    </row>
    <row r="36" spans="3:18" s="3" customFormat="1" ht="14.1" hidden="1" customHeight="1">
      <c r="C36" s="70" t="s">
        <v>26</v>
      </c>
      <c r="D36" s="71" t="s">
        <v>27</v>
      </c>
      <c r="E36" s="71"/>
      <c r="F36" s="71"/>
      <c r="G36" s="130"/>
      <c r="H36" s="131"/>
      <c r="I36" s="180"/>
      <c r="J36" s="191"/>
      <c r="K36" s="191"/>
      <c r="L36" s="191"/>
      <c r="M36" s="191"/>
    </row>
    <row r="37" spans="3:18" s="3" customFormat="1" ht="14.1" hidden="1" customHeight="1">
      <c r="C37" s="70" t="s">
        <v>28</v>
      </c>
      <c r="D37" s="71" t="s">
        <v>29</v>
      </c>
      <c r="E37" s="71"/>
      <c r="F37" s="71"/>
      <c r="G37" s="130"/>
      <c r="H37" s="131"/>
      <c r="I37" s="180"/>
      <c r="J37" s="191"/>
      <c r="K37" s="191"/>
      <c r="L37" s="191"/>
      <c r="M37" s="191"/>
    </row>
    <row r="38" spans="3:18" s="3" customFormat="1" ht="14.1" hidden="1" customHeight="1">
      <c r="C38" s="70" t="s">
        <v>30</v>
      </c>
      <c r="D38" s="71" t="s">
        <v>31</v>
      </c>
      <c r="E38" s="71"/>
      <c r="F38" s="71"/>
      <c r="G38" s="130"/>
      <c r="H38" s="131"/>
      <c r="I38" s="180"/>
      <c r="J38" s="191"/>
      <c r="K38" s="191"/>
      <c r="L38" s="191"/>
      <c r="M38" s="191"/>
    </row>
    <row r="39" spans="3:18" s="3" customFormat="1" ht="14.1" hidden="1" customHeight="1">
      <c r="C39" s="70" t="s">
        <v>32</v>
      </c>
      <c r="D39" s="71" t="s">
        <v>33</v>
      </c>
      <c r="E39" s="71"/>
      <c r="F39" s="71"/>
      <c r="G39" s="131"/>
      <c r="H39" s="131"/>
      <c r="I39" s="180"/>
      <c r="J39" s="193"/>
      <c r="K39" s="191"/>
      <c r="L39" s="191"/>
      <c r="M39" s="191"/>
    </row>
    <row r="40" spans="3:18" s="3" customFormat="1" ht="14.1" hidden="1" customHeight="1">
      <c r="C40" s="70"/>
      <c r="D40" s="71"/>
      <c r="E40" s="71"/>
      <c r="F40" s="71"/>
      <c r="G40" s="131"/>
      <c r="H40" s="131"/>
      <c r="I40" s="180"/>
      <c r="J40" s="194"/>
      <c r="K40" s="195"/>
      <c r="L40" s="195"/>
      <c r="M40" s="195"/>
    </row>
    <row r="41" spans="3:18" s="3" customFormat="1" ht="14.1" hidden="1" customHeight="1">
      <c r="C41" s="74" t="s">
        <v>34</v>
      </c>
      <c r="D41" s="75"/>
      <c r="E41" s="75"/>
      <c r="F41" s="75"/>
      <c r="G41" s="132"/>
      <c r="H41" s="132"/>
      <c r="I41" s="183"/>
      <c r="J41" s="196"/>
      <c r="K41" s="196"/>
      <c r="L41" s="196"/>
      <c r="M41" s="197"/>
    </row>
    <row r="42" spans="3:18" s="3" customFormat="1" ht="14.1" hidden="1" customHeight="1">
      <c r="C42" s="67" t="s">
        <v>35</v>
      </c>
      <c r="D42" s="75" t="s">
        <v>36</v>
      </c>
      <c r="E42" s="75"/>
      <c r="F42" s="75"/>
      <c r="G42" s="130"/>
      <c r="H42" s="131"/>
      <c r="I42" s="180"/>
      <c r="J42" s="191"/>
      <c r="K42" s="191"/>
      <c r="L42" s="191"/>
      <c r="M42" s="191"/>
    </row>
    <row r="43" spans="3:18" s="3" customFormat="1" ht="14.1" hidden="1" customHeight="1">
      <c r="C43" s="67" t="s">
        <v>37</v>
      </c>
      <c r="D43" s="75" t="s">
        <v>38</v>
      </c>
      <c r="E43" s="75"/>
      <c r="F43" s="75"/>
      <c r="G43" s="130"/>
      <c r="H43" s="131"/>
      <c r="I43" s="180"/>
      <c r="J43" s="191"/>
      <c r="K43" s="191"/>
      <c r="L43" s="191"/>
      <c r="M43" s="191"/>
    </row>
    <row r="44" spans="3:18" s="3" customFormat="1" ht="11.1" hidden="1" customHeight="1">
      <c r="C44" s="67"/>
      <c r="D44" s="75"/>
      <c r="E44" s="75"/>
      <c r="F44" s="75"/>
      <c r="G44" s="130"/>
      <c r="H44" s="131"/>
      <c r="I44" s="180"/>
      <c r="J44" s="193"/>
      <c r="K44" s="191"/>
      <c r="L44" s="191"/>
      <c r="M44" s="191"/>
    </row>
    <row r="45" spans="3:18" s="3" customFormat="1" ht="11.1" hidden="1" customHeight="1">
      <c r="C45" s="67"/>
      <c r="D45" s="75"/>
      <c r="E45" s="75"/>
      <c r="F45" s="75"/>
      <c r="G45" s="130"/>
      <c r="H45" s="131"/>
      <c r="I45" s="180"/>
      <c r="J45" s="193"/>
      <c r="K45" s="191"/>
      <c r="L45" s="191"/>
      <c r="M45" s="191"/>
    </row>
    <row r="46" spans="3:18" s="3" customFormat="1" ht="11.1" hidden="1" customHeight="1">
      <c r="C46" s="74" t="s">
        <v>39</v>
      </c>
      <c r="D46" s="75"/>
      <c r="E46" s="75"/>
      <c r="F46" s="75"/>
      <c r="G46" s="128" t="s">
        <v>10</v>
      </c>
      <c r="H46" s="131"/>
      <c r="I46" s="180"/>
      <c r="J46" s="186" t="s">
        <v>6</v>
      </c>
      <c r="K46" s="191"/>
      <c r="L46" s="191"/>
      <c r="M46" s="191"/>
    </row>
    <row r="47" spans="3:18" s="3" customFormat="1" ht="11.1" hidden="1" customHeight="1">
      <c r="C47" s="70" t="s">
        <v>40</v>
      </c>
      <c r="D47" s="71" t="s">
        <v>41</v>
      </c>
      <c r="E47" s="75"/>
      <c r="F47" s="75"/>
      <c r="G47" s="130"/>
      <c r="H47" s="131"/>
      <c r="I47" s="180"/>
      <c r="J47" s="193"/>
      <c r="K47" s="193"/>
      <c r="L47" s="193"/>
      <c r="M47" s="191"/>
    </row>
    <row r="48" spans="3:18" s="3" customFormat="1" ht="11.1" hidden="1" customHeight="1">
      <c r="C48" s="70" t="s">
        <v>42</v>
      </c>
      <c r="D48" s="71" t="s">
        <v>43</v>
      </c>
      <c r="E48" s="75"/>
      <c r="F48" s="75"/>
      <c r="G48" s="130"/>
      <c r="H48" s="131"/>
      <c r="I48" s="180"/>
      <c r="J48" s="193"/>
      <c r="K48" s="193"/>
      <c r="L48" s="193"/>
      <c r="M48" s="191"/>
    </row>
    <row r="49" spans="3:18" s="3" customFormat="1" ht="11.1" hidden="1" customHeight="1">
      <c r="C49" s="67">
        <v>4.13</v>
      </c>
      <c r="D49" s="71" t="s">
        <v>44</v>
      </c>
      <c r="E49" s="71"/>
      <c r="F49" s="71"/>
      <c r="G49" s="131"/>
      <c r="H49" s="131">
        <v>0</v>
      </c>
      <c r="I49" s="180"/>
      <c r="J49" s="198"/>
      <c r="K49" s="199"/>
      <c r="L49" s="199"/>
      <c r="M49" s="199"/>
    </row>
    <row r="50" spans="3:18" s="3" customFormat="1" ht="11.1" hidden="1" customHeight="1">
      <c r="C50" s="67"/>
      <c r="D50" s="71"/>
      <c r="E50" s="71"/>
      <c r="F50" s="71"/>
      <c r="G50" s="131"/>
      <c r="H50" s="131"/>
      <c r="I50" s="180"/>
      <c r="J50" s="198"/>
      <c r="K50" s="199"/>
      <c r="L50" s="199"/>
      <c r="M50" s="199"/>
    </row>
    <row r="51" spans="3:18" s="3" customFormat="1" ht="11.1" customHeight="1">
      <c r="C51" s="66"/>
      <c r="D51" s="60"/>
      <c r="E51" s="60"/>
      <c r="F51" s="60"/>
      <c r="G51" s="133"/>
      <c r="H51" s="133"/>
      <c r="I51" s="184"/>
      <c r="J51" s="200"/>
      <c r="K51" s="201"/>
      <c r="L51" s="201"/>
      <c r="M51" s="202"/>
    </row>
    <row r="52" spans="3:18" s="13" customFormat="1" ht="13.5" customHeight="1">
      <c r="C52" s="11"/>
      <c r="D52" s="12"/>
      <c r="E52" s="12"/>
      <c r="F52" s="12"/>
      <c r="G52" s="601" t="s">
        <v>45</v>
      </c>
      <c r="H52" s="602"/>
      <c r="I52" s="603"/>
      <c r="J52" s="604" t="s">
        <v>46</v>
      </c>
      <c r="K52" s="605"/>
      <c r="L52" s="605"/>
      <c r="M52" s="606"/>
      <c r="Q52" s="3"/>
      <c r="R52" s="3"/>
    </row>
    <row r="53" spans="3:18" s="13" customFormat="1" ht="18" customHeight="1">
      <c r="C53" s="15"/>
      <c r="D53" s="14"/>
      <c r="E53" s="16"/>
      <c r="F53" s="17"/>
      <c r="G53" s="134"/>
      <c r="H53" s="135"/>
      <c r="I53" s="136"/>
      <c r="J53" s="79"/>
      <c r="K53" s="79"/>
      <c r="L53" s="79"/>
      <c r="M53" s="89"/>
      <c r="Q53" s="3"/>
      <c r="R53" s="3"/>
    </row>
    <row r="54" spans="3:18" s="13" customFormat="1" ht="22.5" customHeight="1">
      <c r="C54" s="15"/>
      <c r="D54" s="14"/>
      <c r="E54" s="16"/>
      <c r="F54" s="18"/>
      <c r="G54" s="134"/>
      <c r="H54" s="135"/>
      <c r="I54" s="136"/>
      <c r="J54" s="79"/>
      <c r="K54" s="79"/>
      <c r="L54" s="79"/>
      <c r="M54" s="89"/>
      <c r="Q54" s="3"/>
      <c r="R54" s="3"/>
    </row>
    <row r="55" spans="3:18" s="3" customFormat="1" ht="11.1" customHeight="1">
      <c r="C55" s="5"/>
      <c r="D55" s="4"/>
      <c r="E55" s="19"/>
      <c r="F55" s="17"/>
      <c r="G55" s="137" t="s">
        <v>47</v>
      </c>
      <c r="H55" s="138" t="s">
        <v>123</v>
      </c>
      <c r="I55" s="384" t="str">
        <f>IFERROR(VLOOKUP($M$3,DBLH[[tanggal]:[adm]],15,FALSE),"")</f>
        <v>Indah Eka Putri</v>
      </c>
      <c r="J55" s="90" t="s">
        <v>47</v>
      </c>
      <c r="K55" s="91" t="s">
        <v>123</v>
      </c>
      <c r="L55" s="91" t="s">
        <v>124</v>
      </c>
      <c r="M55" s="92"/>
      <c r="Q55" s="13"/>
      <c r="R55" s="13"/>
    </row>
    <row r="56" spans="3:18" s="3" customFormat="1" ht="11.1" customHeight="1">
      <c r="C56" s="5"/>
      <c r="D56" s="4"/>
      <c r="E56" s="4"/>
      <c r="F56" s="4"/>
      <c r="G56" s="134" t="s">
        <v>48</v>
      </c>
      <c r="H56" s="135" t="s">
        <v>123</v>
      </c>
      <c r="I56" s="383" t="s">
        <v>282</v>
      </c>
      <c r="J56" s="82" t="s">
        <v>48</v>
      </c>
      <c r="K56" s="79" t="s">
        <v>123</v>
      </c>
      <c r="L56" s="79" t="s">
        <v>125</v>
      </c>
      <c r="M56" s="89"/>
      <c r="Q56" s="13"/>
      <c r="R56" s="13"/>
    </row>
    <row r="57" spans="3:18" s="3" customFormat="1" ht="11.1" customHeight="1">
      <c r="C57" s="8"/>
      <c r="D57" s="10"/>
      <c r="E57" s="10"/>
      <c r="F57" s="10"/>
      <c r="G57" s="139" t="s">
        <v>49</v>
      </c>
      <c r="H57" s="140" t="s">
        <v>123</v>
      </c>
      <c r="I57" s="371">
        <f>DATE(R2,R4,R5)+R7</f>
        <v>43922</v>
      </c>
      <c r="J57" s="93" t="s">
        <v>49</v>
      </c>
      <c r="K57" s="94" t="s">
        <v>123</v>
      </c>
      <c r="L57" s="599">
        <f>+I57</f>
        <v>43922</v>
      </c>
      <c r="M57" s="600"/>
      <c r="Q57" s="13"/>
      <c r="R57" s="13"/>
    </row>
    <row r="58" spans="3:18" s="3" customFormat="1" ht="11.1" customHeight="1">
      <c r="C58" s="6" t="s">
        <v>50</v>
      </c>
      <c r="D58" s="7"/>
      <c r="E58" s="7"/>
      <c r="F58" s="7"/>
      <c r="G58" s="141"/>
      <c r="H58" s="141"/>
      <c r="I58" s="141"/>
      <c r="J58" s="95"/>
      <c r="K58" s="95"/>
      <c r="L58" s="95"/>
      <c r="M58" s="96" t="s">
        <v>51</v>
      </c>
    </row>
    <row r="59" spans="3:18" s="3" customFormat="1" ht="13.5">
      <c r="C59" s="4" t="s">
        <v>92</v>
      </c>
      <c r="D59" s="4"/>
      <c r="E59" s="4"/>
      <c r="F59" s="4"/>
      <c r="G59" s="142"/>
      <c r="H59" s="142"/>
      <c r="I59" s="142"/>
      <c r="J59" s="4"/>
      <c r="K59" s="4"/>
      <c r="L59" s="4"/>
      <c r="M59" s="4"/>
    </row>
    <row r="60" spans="3:18">
      <c r="Q60" s="3"/>
      <c r="R60" s="3"/>
    </row>
    <row r="61" spans="3:18">
      <c r="Q61" s="3"/>
      <c r="R61" s="3"/>
    </row>
    <row r="62" spans="3:18">
      <c r="Q62" s="3"/>
      <c r="R62" s="3"/>
    </row>
  </sheetData>
  <mergeCells count="14">
    <mergeCell ref="L57:M57"/>
    <mergeCell ref="G52:I52"/>
    <mergeCell ref="J52:M52"/>
    <mergeCell ref="R5:R6"/>
    <mergeCell ref="R7:R8"/>
    <mergeCell ref="Q5:Q6"/>
    <mergeCell ref="Q7:Q8"/>
    <mergeCell ref="C2:D3"/>
    <mergeCell ref="E2:J3"/>
    <mergeCell ref="C4:D4"/>
    <mergeCell ref="E4:J4"/>
    <mergeCell ref="C5:F5"/>
    <mergeCell ref="H5:I5"/>
    <mergeCell ref="J5:M5"/>
  </mergeCells>
  <printOptions horizontalCentered="1"/>
  <pageMargins left="0.2" right="0.118110236220472" top="0.3" bottom="0.118110236220472" header="0.66929133858267698" footer="0.511811023622047"/>
  <pageSetup paperSize="9" scale="75" fitToHeight="0" orientation="portrait" errors="blank" horizontalDpi="4294967294" verticalDpi="72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 filterMode="1">
    <tabColor rgb="FFFFFF00"/>
  </sheetPr>
  <dimension ref="A1:Q148"/>
  <sheetViews>
    <sheetView showWhiteSpace="0" view="pageBreakPreview" topLeftCell="C1" zoomScale="70" zoomScaleNormal="90" zoomScaleSheetLayoutView="70" workbookViewId="0">
      <pane xSplit="3" ySplit="5" topLeftCell="F85" activePane="bottomRight" state="frozen"/>
      <selection activeCell="C1" sqref="C1"/>
      <selection pane="topRight" activeCell="F1" sqref="F1"/>
      <selection pane="bottomLeft" activeCell="C6" sqref="C6"/>
      <selection pane="bottomRight" activeCell="G124" sqref="G124"/>
    </sheetView>
  </sheetViews>
  <sheetFormatPr defaultColWidth="0" defaultRowHeight="15" customHeight="1" zeroHeight="1"/>
  <cols>
    <col min="1" max="1" width="4.85546875" style="24" hidden="1" customWidth="1"/>
    <col min="2" max="2" width="7.85546875" style="24" hidden="1" customWidth="1"/>
    <col min="3" max="3" width="3.7109375" style="24" customWidth="1"/>
    <col min="4" max="4" width="8" style="47" customWidth="1"/>
    <col min="5" max="5" width="55.140625" style="22" customWidth="1"/>
    <col min="6" max="6" width="13.42578125" style="22" customWidth="1"/>
    <col min="7" max="7" width="11.140625" style="22" customWidth="1"/>
    <col min="8" max="8" width="22.28515625" style="22" bestFit="1" customWidth="1"/>
    <col min="9" max="9" width="20.28515625" style="22" customWidth="1"/>
    <col min="10" max="10" width="18.7109375" style="22" customWidth="1"/>
    <col min="11" max="11" width="4" style="24" customWidth="1"/>
    <col min="12" max="12" width="23.85546875" style="24" customWidth="1"/>
    <col min="13" max="13" width="9.140625" style="24" customWidth="1"/>
    <col min="14" max="17" width="0" style="24" hidden="1" customWidth="1"/>
    <col min="18" max="16384" width="9.140625" style="24" hidden="1"/>
  </cols>
  <sheetData>
    <row r="1" spans="1:12" ht="9.9499999999999993" customHeight="1">
      <c r="H1" s="226"/>
    </row>
    <row r="2" spans="1:12" ht="28.5" customHeight="1">
      <c r="D2" s="21" t="s">
        <v>102</v>
      </c>
      <c r="E2" s="21"/>
      <c r="G2" s="23" t="s">
        <v>53</v>
      </c>
      <c r="H2" s="267">
        <f>'LAPORAN HARIAN'!M3</f>
        <v>43921</v>
      </c>
      <c r="I2" s="220"/>
      <c r="J2" s="220"/>
      <c r="L2" s="219" t="s">
        <v>200</v>
      </c>
    </row>
    <row r="3" spans="1:12" ht="18" customHeight="1">
      <c r="D3" s="619" t="s">
        <v>54</v>
      </c>
      <c r="E3" s="620"/>
      <c r="F3" s="620"/>
      <c r="G3" s="621"/>
      <c r="H3" s="25" t="s">
        <v>55</v>
      </c>
      <c r="I3" s="25" t="s">
        <v>56</v>
      </c>
      <c r="J3" s="25" t="s">
        <v>57</v>
      </c>
      <c r="L3" s="216" t="s">
        <v>199</v>
      </c>
    </row>
    <row r="4" spans="1:12" ht="18" customHeight="1">
      <c r="D4" s="26" t="s">
        <v>58</v>
      </c>
      <c r="E4" s="27" t="s">
        <v>59</v>
      </c>
      <c r="F4" s="28" t="s">
        <v>60</v>
      </c>
      <c r="G4" s="27" t="s">
        <v>61</v>
      </c>
      <c r="H4" s="29" t="s">
        <v>62</v>
      </c>
      <c r="I4" s="29" t="s">
        <v>63</v>
      </c>
      <c r="J4" s="29" t="s">
        <v>64</v>
      </c>
      <c r="L4" s="216" t="s">
        <v>199</v>
      </c>
    </row>
    <row r="5" spans="1:12" ht="18" customHeight="1" thickBot="1">
      <c r="D5" s="30">
        <v>1</v>
      </c>
      <c r="E5" s="31">
        <v>2</v>
      </c>
      <c r="F5" s="30">
        <v>3</v>
      </c>
      <c r="G5" s="32">
        <v>4</v>
      </c>
      <c r="H5" s="33">
        <v>5</v>
      </c>
      <c r="I5" s="33">
        <v>6</v>
      </c>
      <c r="J5" s="33" t="s">
        <v>65</v>
      </c>
      <c r="L5" s="216" t="s">
        <v>199</v>
      </c>
    </row>
    <row r="6" spans="1:12" s="34" customFormat="1" ht="18" customHeight="1" thickTop="1">
      <c r="A6" s="34">
        <v>1</v>
      </c>
      <c r="B6" s="34" t="str">
        <f>IFERROR(IF(FIND("/KM",E6)&gt;0,"SUNGAI"),"DARAT")</f>
        <v>DARAT</v>
      </c>
      <c r="D6" s="246" t="str">
        <f t="array" ref="D6">IFERROR(VLOOKUP($H$2,IF(DATAKBA[NO]=LAMPIRAN!A6,DATAKBA[[TANGGAL]:[TARRA]],0),2,FALSE),"")</f>
        <v/>
      </c>
      <c r="E6" s="247" t="str">
        <f t="array" ref="E6">IFERROR(VLOOKUP($H$2,IF(DATAKBA[NO]=LAMPIRAN!A6,DATAKBA[[TANGGAL]:[TARRA]],0),3,FALSE),"NIHIL")</f>
        <v>NIHIL</v>
      </c>
      <c r="F6" s="248" t="str">
        <f t="array" ref="F6">IFERROR(VLOOKUP($H$2,IF(DATAKBA[NO]=LAMPIRAN!A6,DATAKBA[[TANGGAL]:[TARRA]],0),4,FALSE),"")</f>
        <v/>
      </c>
      <c r="G6" s="249" t="str">
        <f t="array" ref="G6">IFERROR(VLOOKUP($H$2,IF(DATAKBA[NO]=LAMPIRAN!A6,DATAKBA[[TANGGAL]:[TARRA]],0),5,FALSE),"")</f>
        <v/>
      </c>
      <c r="H6" s="250" t="str">
        <f t="array" ref="H6">IFERROR(VLOOKUP($H$2,IF(DATAKBA[NO]=LAMPIRAN!A6,DATAKBA[[TANGGAL]:[TARRA]],0),6,FALSE),"")</f>
        <v/>
      </c>
      <c r="I6" s="250" t="str">
        <f t="array" ref="I6">IFERROR(VLOOKUP($H$2,IF(DATAKBA[NO]=LAMPIRAN!A6,DATAKBA[[TANGGAL]:[TARRA]],0),7,FALSE),"")</f>
        <v/>
      </c>
      <c r="J6" s="250">
        <f t="shared" ref="J6:J33" si="0">IFERROR(H6-I6,0)</f>
        <v>0</v>
      </c>
      <c r="L6" s="216" t="s">
        <v>199</v>
      </c>
    </row>
    <row r="7" spans="1:12" s="34" customFormat="1" ht="18" customHeight="1">
      <c r="A7" s="34">
        <f>+A6+1</f>
        <v>2</v>
      </c>
      <c r="B7" s="34" t="str">
        <f t="shared" ref="B7:B55" si="1">IFERROR(IF(FIND("/KM",E7)&gt;0,"SUNGAI"),"DARAT")</f>
        <v>DARAT</v>
      </c>
      <c r="D7" s="246" t="str">
        <f t="array" ref="D7">IFERROR(VLOOKUP($H$2,IF(DATAKBA[NO]=LAMPIRAN!A7,DATAKBA[[TANGGAL]:[TARRA]],0),2,FALSE),"")</f>
        <v/>
      </c>
      <c r="E7" s="247" t="str">
        <f t="array" ref="E7">IFERROR(VLOOKUP($H$2,IF(DATAKBA[NO]=LAMPIRAN!A7,DATAKBA[[TANGGAL]:[TARRA]],0),3,FALSE),"")</f>
        <v/>
      </c>
      <c r="F7" s="248" t="str">
        <f t="array" ref="F7">IFERROR(VLOOKUP($H$2,IF(DATAKBA[NO]=LAMPIRAN!A7,DATAKBA[[TANGGAL]:[TARRA]],0),4,FALSE),"")</f>
        <v/>
      </c>
      <c r="G7" s="249" t="str">
        <f t="array" ref="G7">IFERROR(VLOOKUP($H$2,IF(DATAKBA[NO]=LAMPIRAN!A7,DATAKBA[[TANGGAL]:[TARRA]],0),5,FALSE),"")</f>
        <v/>
      </c>
      <c r="H7" s="251" t="str">
        <f t="array" ref="H7">IFERROR(VLOOKUP($H$2,IF(DATAKBA[NO]=LAMPIRAN!A7,DATAKBA[[TANGGAL]:[TARRA]],0),6,FALSE),"")</f>
        <v/>
      </c>
      <c r="I7" s="251" t="str">
        <f t="array" ref="I7">IFERROR(VLOOKUP($H$2,IF(DATAKBA[NO]=LAMPIRAN!A7,DATAKBA[[TANGGAL]:[TARRA]],0),7,FALSE),"")</f>
        <v/>
      </c>
      <c r="J7" s="251">
        <f t="shared" si="0"/>
        <v>0</v>
      </c>
      <c r="L7" s="216" t="str">
        <f t="shared" ref="L7:L55" si="2">IF(J7=0,"","Ok")</f>
        <v/>
      </c>
    </row>
    <row r="8" spans="1:12" s="34" customFormat="1" ht="18" customHeight="1">
      <c r="A8" s="34">
        <f t="shared" ref="A8:A82" si="3">+A7+1</f>
        <v>3</v>
      </c>
      <c r="B8" s="34" t="str">
        <f t="shared" si="1"/>
        <v>DARAT</v>
      </c>
      <c r="D8" s="246" t="str">
        <f t="array" ref="D8">IFERROR(VLOOKUP($H$2,IF(DATAKBA[NO]=LAMPIRAN!A8,DATAKBA[[TANGGAL]:[TARRA]],0),2,FALSE),"")</f>
        <v/>
      </c>
      <c r="E8" s="247" t="str">
        <f t="array" ref="E8">IFERROR(VLOOKUP($H$2,IF(DATAKBA[NO]=LAMPIRAN!A8,DATAKBA[[TANGGAL]:[TARRA]],0),3,FALSE),"")</f>
        <v/>
      </c>
      <c r="F8" s="248" t="str">
        <f t="array" ref="F8">IFERROR(VLOOKUP($H$2,IF(DATAKBA[NO]=LAMPIRAN!A8,DATAKBA[[TANGGAL]:[TARRA]],0),4,FALSE),"")</f>
        <v/>
      </c>
      <c r="G8" s="249" t="str">
        <f t="array" ref="G8">IFERROR(VLOOKUP($H$2,IF(DATAKBA[NO]=LAMPIRAN!A8,DATAKBA[[TANGGAL]:[TARRA]],0),5,FALSE),"")</f>
        <v/>
      </c>
      <c r="H8" s="251" t="str">
        <f t="array" ref="H8">IFERROR(VLOOKUP($H$2,IF(DATAKBA[NO]=LAMPIRAN!A8,DATAKBA[[TANGGAL]:[TARRA]],0),6,FALSE),"")</f>
        <v/>
      </c>
      <c r="I8" s="251" t="str">
        <f t="array" ref="I8">IFERROR(VLOOKUP($H$2,IF(DATAKBA[NO]=LAMPIRAN!A8,DATAKBA[[TANGGAL]:[TARRA]],0),7,FALSE),"")</f>
        <v/>
      </c>
      <c r="J8" s="251">
        <f t="shared" si="0"/>
        <v>0</v>
      </c>
      <c r="L8" s="216" t="str">
        <f t="shared" si="2"/>
        <v/>
      </c>
    </row>
    <row r="9" spans="1:12" s="34" customFormat="1" ht="18" customHeight="1">
      <c r="A9" s="34">
        <f t="shared" si="3"/>
        <v>4</v>
      </c>
      <c r="B9" s="34" t="str">
        <f t="shared" si="1"/>
        <v>DARAT</v>
      </c>
      <c r="D9" s="246" t="str">
        <f t="array" ref="D9">IFERROR(VLOOKUP($H$2,IF(DATAKBA[NO]=LAMPIRAN!A9,DATAKBA[[TANGGAL]:[TARRA]],0),2,FALSE),"")</f>
        <v/>
      </c>
      <c r="E9" s="247" t="str">
        <f t="array" ref="E9">IFERROR(VLOOKUP($H$2,IF(DATAKBA[NO]=LAMPIRAN!A9,DATAKBA[[TANGGAL]:[TARRA]],0),3,FALSE),"")</f>
        <v/>
      </c>
      <c r="F9" s="248" t="str">
        <f t="array" ref="F9">IFERROR(VLOOKUP($H$2,IF(DATAKBA[NO]=LAMPIRAN!A9,DATAKBA[[TANGGAL]:[TARRA]],0),4,FALSE),"")</f>
        <v/>
      </c>
      <c r="G9" s="249" t="str">
        <f t="array" ref="G9">IFERROR(VLOOKUP($H$2,IF(DATAKBA[NO]=LAMPIRAN!A9,DATAKBA[[TANGGAL]:[TARRA]],0),5,FALSE),"")</f>
        <v/>
      </c>
      <c r="H9" s="251" t="str">
        <f t="array" ref="H9">IFERROR(VLOOKUP($H$2,IF(DATAKBA[NO]=LAMPIRAN!A9,DATAKBA[[TANGGAL]:[TARRA]],0),6,FALSE),"")</f>
        <v/>
      </c>
      <c r="I9" s="251" t="str">
        <f t="array" ref="I9">IFERROR(VLOOKUP($H$2,IF(DATAKBA[NO]=LAMPIRAN!A9,DATAKBA[[TANGGAL]:[TARRA]],0),7,FALSE),"")</f>
        <v/>
      </c>
      <c r="J9" s="251">
        <f t="shared" si="0"/>
        <v>0</v>
      </c>
      <c r="L9" s="216" t="str">
        <f t="shared" si="2"/>
        <v/>
      </c>
    </row>
    <row r="10" spans="1:12" s="34" customFormat="1" ht="18" customHeight="1">
      <c r="A10" s="34">
        <f t="shared" si="3"/>
        <v>5</v>
      </c>
      <c r="B10" s="34" t="str">
        <f t="shared" si="1"/>
        <v>DARAT</v>
      </c>
      <c r="D10" s="246" t="str">
        <f t="array" ref="D10">IFERROR(VLOOKUP($H$2,IF(DATAKBA[NO]=LAMPIRAN!A10,DATAKBA[[TANGGAL]:[TARRA]],0),2,FALSE),"")</f>
        <v/>
      </c>
      <c r="E10" s="247" t="str">
        <f t="array" ref="E10">IFERROR(VLOOKUP($H$2,IF(DATAKBA[NO]=LAMPIRAN!A10,DATAKBA[[TANGGAL]:[TARRA]],0),3,FALSE),"")</f>
        <v/>
      </c>
      <c r="F10" s="248" t="str">
        <f t="array" ref="F10">IFERROR(VLOOKUP($H$2,IF(DATAKBA[NO]=LAMPIRAN!A10,DATAKBA[[TANGGAL]:[TARRA]],0),4,FALSE),"")</f>
        <v/>
      </c>
      <c r="G10" s="249" t="str">
        <f t="array" ref="G10">IFERROR(VLOOKUP($H$2,IF(DATAKBA[NO]=LAMPIRAN!A10,DATAKBA[[TANGGAL]:[TARRA]],0),5,FALSE),"")</f>
        <v/>
      </c>
      <c r="H10" s="251" t="str">
        <f t="array" ref="H10">IFERROR(VLOOKUP($H$2,IF(DATAKBA[NO]=LAMPIRAN!A10,DATAKBA[[TANGGAL]:[TARRA]],0),6,FALSE),"")</f>
        <v/>
      </c>
      <c r="I10" s="251" t="str">
        <f t="array" ref="I10">IFERROR(VLOOKUP($H$2,IF(DATAKBA[NO]=LAMPIRAN!A10,DATAKBA[[TANGGAL]:[TARRA]],0),7,FALSE),"")</f>
        <v/>
      </c>
      <c r="J10" s="251">
        <f t="shared" si="0"/>
        <v>0</v>
      </c>
      <c r="L10" s="216" t="str">
        <f t="shared" si="2"/>
        <v/>
      </c>
    </row>
    <row r="11" spans="1:12" s="34" customFormat="1" ht="18" customHeight="1">
      <c r="A11" s="34">
        <f t="shared" si="3"/>
        <v>6</v>
      </c>
      <c r="B11" s="34" t="str">
        <f t="shared" si="1"/>
        <v>DARAT</v>
      </c>
      <c r="D11" s="246" t="str">
        <f t="array" ref="D11">IFERROR(VLOOKUP($H$2,IF(DATAKBA[NO]=LAMPIRAN!A11,DATAKBA[[TANGGAL]:[TARRA]],0),2,FALSE),"")</f>
        <v/>
      </c>
      <c r="E11" s="247" t="str">
        <f t="array" ref="E11">IFERROR(VLOOKUP($H$2,IF(DATAKBA[NO]=LAMPIRAN!A11,DATAKBA[[TANGGAL]:[TARRA]],0),3,FALSE),"")</f>
        <v/>
      </c>
      <c r="F11" s="248" t="str">
        <f t="array" ref="F11">IFERROR(VLOOKUP($H$2,IF(DATAKBA[NO]=LAMPIRAN!A11,DATAKBA[[TANGGAL]:[TARRA]],0),4,FALSE),"")</f>
        <v/>
      </c>
      <c r="G11" s="249" t="str">
        <f t="array" ref="G11">IFERROR(VLOOKUP($H$2,IF(DATAKBA[NO]=LAMPIRAN!A11,DATAKBA[[TANGGAL]:[TARRA]],0),5,FALSE),"")</f>
        <v/>
      </c>
      <c r="H11" s="251" t="str">
        <f t="array" ref="H11">IFERROR(VLOOKUP($H$2,IF(DATAKBA[NO]=LAMPIRAN!A11,DATAKBA[[TANGGAL]:[TARRA]],0),6,FALSE),"")</f>
        <v/>
      </c>
      <c r="I11" s="251" t="str">
        <f t="array" ref="I11">IFERROR(VLOOKUP($H$2,IF(DATAKBA[NO]=LAMPIRAN!A11,DATAKBA[[TANGGAL]:[TARRA]],0),7,FALSE),"")</f>
        <v/>
      </c>
      <c r="J11" s="251">
        <f t="shared" si="0"/>
        <v>0</v>
      </c>
      <c r="L11" s="216" t="str">
        <f t="shared" si="2"/>
        <v/>
      </c>
    </row>
    <row r="12" spans="1:12" s="34" customFormat="1" ht="18" customHeight="1">
      <c r="A12" s="34">
        <f t="shared" si="3"/>
        <v>7</v>
      </c>
      <c r="B12" s="34" t="str">
        <f t="shared" si="1"/>
        <v>DARAT</v>
      </c>
      <c r="D12" s="246" t="str">
        <f t="array" ref="D12">IFERROR(VLOOKUP($H$2,IF(DATAKBA[NO]=LAMPIRAN!A12,DATAKBA[[TANGGAL]:[TARRA]],0),2,FALSE),"")</f>
        <v/>
      </c>
      <c r="E12" s="247" t="str">
        <f t="array" ref="E12">IFERROR(VLOOKUP($H$2,IF(DATAKBA[NO]=LAMPIRAN!A12,DATAKBA[[TANGGAL]:[TARRA]],0),3,FALSE),"")</f>
        <v/>
      </c>
      <c r="F12" s="248" t="str">
        <f t="array" ref="F12">IFERROR(VLOOKUP($H$2,IF(DATAKBA[NO]=LAMPIRAN!A12,DATAKBA[[TANGGAL]:[TARRA]],0),4,FALSE),"")</f>
        <v/>
      </c>
      <c r="G12" s="249" t="str">
        <f t="array" ref="G12">IFERROR(VLOOKUP($H$2,IF(DATAKBA[NO]=LAMPIRAN!A12,DATAKBA[[TANGGAL]:[TARRA]],0),5,FALSE),"")</f>
        <v/>
      </c>
      <c r="H12" s="251" t="str">
        <f t="array" ref="H12">IFERROR(VLOOKUP($H$2,IF(DATAKBA[NO]=LAMPIRAN!A12,DATAKBA[[TANGGAL]:[TARRA]],0),6,FALSE),"")</f>
        <v/>
      </c>
      <c r="I12" s="251" t="str">
        <f t="array" ref="I12">IFERROR(VLOOKUP($H$2,IF(DATAKBA[NO]=LAMPIRAN!A12,DATAKBA[[TANGGAL]:[TARRA]],0),7,FALSE),"")</f>
        <v/>
      </c>
      <c r="J12" s="251">
        <f t="shared" si="0"/>
        <v>0</v>
      </c>
      <c r="L12" s="216" t="str">
        <f t="shared" si="2"/>
        <v/>
      </c>
    </row>
    <row r="13" spans="1:12" s="34" customFormat="1" ht="18" customHeight="1">
      <c r="A13" s="34">
        <f t="shared" si="3"/>
        <v>8</v>
      </c>
      <c r="B13" s="34" t="str">
        <f t="shared" si="1"/>
        <v>DARAT</v>
      </c>
      <c r="D13" s="246" t="str">
        <f t="array" ref="D13">IFERROR(VLOOKUP($H$2,IF(DATAKBA[NO]=LAMPIRAN!A13,DATAKBA[[TANGGAL]:[TARRA]],0),2,FALSE),"")</f>
        <v/>
      </c>
      <c r="E13" s="247" t="str">
        <f t="array" ref="E13">IFERROR(VLOOKUP($H$2,IF(DATAKBA[NO]=LAMPIRAN!A13,DATAKBA[[TANGGAL]:[TARRA]],0),3,FALSE),"")</f>
        <v/>
      </c>
      <c r="F13" s="248" t="str">
        <f t="array" ref="F13">IFERROR(VLOOKUP($H$2,IF(DATAKBA[NO]=LAMPIRAN!A13,DATAKBA[[TANGGAL]:[TARRA]],0),4,FALSE),"")</f>
        <v/>
      </c>
      <c r="G13" s="249" t="str">
        <f t="array" ref="G13">IFERROR(VLOOKUP($H$2,IF(DATAKBA[NO]=LAMPIRAN!A13,DATAKBA[[TANGGAL]:[TARRA]],0),5,FALSE),"")</f>
        <v/>
      </c>
      <c r="H13" s="251" t="str">
        <f t="array" ref="H13">IFERROR(VLOOKUP($H$2,IF(DATAKBA[NO]=LAMPIRAN!A13,DATAKBA[[TANGGAL]:[TARRA]],0),6,FALSE),"")</f>
        <v/>
      </c>
      <c r="I13" s="251" t="str">
        <f t="array" ref="I13">IFERROR(VLOOKUP($H$2,IF(DATAKBA[NO]=LAMPIRAN!A13,DATAKBA[[TANGGAL]:[TARRA]],0),7,FALSE),"")</f>
        <v/>
      </c>
      <c r="J13" s="251">
        <f t="shared" si="0"/>
        <v>0</v>
      </c>
      <c r="L13" s="216" t="str">
        <f t="shared" si="2"/>
        <v/>
      </c>
    </row>
    <row r="14" spans="1:12" s="34" customFormat="1" ht="18" customHeight="1">
      <c r="A14" s="34">
        <f t="shared" si="3"/>
        <v>9</v>
      </c>
      <c r="B14" s="34" t="str">
        <f t="shared" si="1"/>
        <v>DARAT</v>
      </c>
      <c r="D14" s="246" t="str">
        <f t="array" ref="D14">IFERROR(VLOOKUP($H$2,IF(DATAKBA[NO]=LAMPIRAN!A14,DATAKBA[[TANGGAL]:[TARRA]],0),2,FALSE),"")</f>
        <v/>
      </c>
      <c r="E14" s="247" t="str">
        <f t="array" ref="E14">IFERROR(VLOOKUP($H$2,IF(DATAKBA[NO]=LAMPIRAN!A14,DATAKBA[[TANGGAL]:[TARRA]],0),3,FALSE),"")</f>
        <v/>
      </c>
      <c r="F14" s="248" t="str">
        <f t="array" ref="F14">IFERROR(VLOOKUP($H$2,IF(DATAKBA[NO]=LAMPIRAN!A14,DATAKBA[[TANGGAL]:[TARRA]],0),4,FALSE),"")</f>
        <v/>
      </c>
      <c r="G14" s="249" t="str">
        <f t="array" ref="G14">IFERROR(VLOOKUP($H$2,IF(DATAKBA[NO]=LAMPIRAN!A14,DATAKBA[[TANGGAL]:[TARRA]],0),5,FALSE),"")</f>
        <v/>
      </c>
      <c r="H14" s="251" t="str">
        <f t="array" ref="H14">IFERROR(VLOOKUP($H$2,IF(DATAKBA[NO]=LAMPIRAN!A14,DATAKBA[[TANGGAL]:[TARRA]],0),6,FALSE),"")</f>
        <v/>
      </c>
      <c r="I14" s="251" t="str">
        <f t="array" ref="I14">IFERROR(VLOOKUP($H$2,IF(DATAKBA[NO]=LAMPIRAN!A14,DATAKBA[[TANGGAL]:[TARRA]],0),7,FALSE),"")</f>
        <v/>
      </c>
      <c r="J14" s="251">
        <f t="shared" si="0"/>
        <v>0</v>
      </c>
      <c r="L14" s="216" t="str">
        <f t="shared" si="2"/>
        <v/>
      </c>
    </row>
    <row r="15" spans="1:12" s="34" customFormat="1" ht="18" customHeight="1">
      <c r="A15" s="34">
        <f t="shared" si="3"/>
        <v>10</v>
      </c>
      <c r="B15" s="34" t="str">
        <f t="shared" si="1"/>
        <v>DARAT</v>
      </c>
      <c r="D15" s="246" t="str">
        <f t="array" ref="D15">IFERROR(VLOOKUP($H$2,IF(DATAKBA[NO]=LAMPIRAN!A15,DATAKBA[[TANGGAL]:[TARRA]],0),2,FALSE),"")</f>
        <v/>
      </c>
      <c r="E15" s="247" t="str">
        <f t="array" ref="E15">IFERROR(VLOOKUP($H$2,IF(DATAKBA[NO]=LAMPIRAN!A15,DATAKBA[[TANGGAL]:[TARRA]],0),3,FALSE),"")</f>
        <v/>
      </c>
      <c r="F15" s="248" t="str">
        <f t="array" ref="F15">IFERROR(VLOOKUP($H$2,IF(DATAKBA[NO]=LAMPIRAN!A15,DATAKBA[[TANGGAL]:[TARRA]],0),4,FALSE),"")</f>
        <v/>
      </c>
      <c r="G15" s="249" t="str">
        <f t="array" ref="G15">IFERROR(VLOOKUP($H$2,IF(DATAKBA[NO]=LAMPIRAN!A15,DATAKBA[[TANGGAL]:[TARRA]],0),5,FALSE),"")</f>
        <v/>
      </c>
      <c r="H15" s="251" t="str">
        <f t="array" ref="H15">IFERROR(VLOOKUP($H$2,IF(DATAKBA[NO]=LAMPIRAN!A15,DATAKBA[[TANGGAL]:[TARRA]],0),6,FALSE),"")</f>
        <v/>
      </c>
      <c r="I15" s="251" t="str">
        <f t="array" ref="I15">IFERROR(VLOOKUP($H$2,IF(DATAKBA[NO]=LAMPIRAN!A15,DATAKBA[[TANGGAL]:[TARRA]],0),7,FALSE),"")</f>
        <v/>
      </c>
      <c r="J15" s="251">
        <f t="shared" si="0"/>
        <v>0</v>
      </c>
      <c r="L15" s="216" t="str">
        <f t="shared" si="2"/>
        <v/>
      </c>
    </row>
    <row r="16" spans="1:12" s="34" customFormat="1" ht="18" hidden="1" customHeight="1">
      <c r="A16" s="34">
        <f t="shared" si="3"/>
        <v>11</v>
      </c>
      <c r="B16" s="34" t="str">
        <f t="shared" si="1"/>
        <v>DARAT</v>
      </c>
      <c r="D16" s="246" t="str">
        <f t="array" ref="D16">IFERROR(VLOOKUP($H$2,IF(DATAKBA[NO]=LAMPIRAN!A16,DATAKBA[[TANGGAL]:[TARRA]],0),2,FALSE),"")</f>
        <v/>
      </c>
      <c r="E16" s="247" t="str">
        <f t="array" ref="E16">IFERROR(VLOOKUP($H$2,IF(DATAKBA[NO]=LAMPIRAN!A16,DATAKBA[[TANGGAL]:[TARRA]],0),3,FALSE),"")</f>
        <v/>
      </c>
      <c r="F16" s="248" t="str">
        <f t="array" ref="F16">IFERROR(VLOOKUP($H$2,IF(DATAKBA[NO]=LAMPIRAN!A16,DATAKBA[[TANGGAL]:[TARRA]],0),4,FALSE),"")</f>
        <v/>
      </c>
      <c r="G16" s="249" t="str">
        <f t="array" ref="G16">IFERROR(VLOOKUP($H$2,IF(DATAKBA[NO]=LAMPIRAN!A16,DATAKBA[[TANGGAL]:[TARRA]],0),5,FALSE),"")</f>
        <v/>
      </c>
      <c r="H16" s="251" t="str">
        <f t="array" ref="H16">IFERROR(VLOOKUP($H$2,IF(DATAKBA[NO]=LAMPIRAN!A16,DATAKBA[[TANGGAL]:[TARRA]],0),6,FALSE),"")</f>
        <v/>
      </c>
      <c r="I16" s="251" t="str">
        <f t="array" ref="I16">IFERROR(VLOOKUP($H$2,IF(DATAKBA[NO]=LAMPIRAN!A16,DATAKBA[[TANGGAL]:[TARRA]],0),7,FALSE),"")</f>
        <v/>
      </c>
      <c r="J16" s="251">
        <f t="shared" si="0"/>
        <v>0</v>
      </c>
      <c r="L16" s="216" t="str">
        <f t="shared" si="2"/>
        <v/>
      </c>
    </row>
    <row r="17" spans="1:12" s="34" customFormat="1" ht="18" hidden="1" customHeight="1">
      <c r="A17" s="34">
        <f t="shared" si="3"/>
        <v>12</v>
      </c>
      <c r="B17" s="34" t="str">
        <f t="shared" si="1"/>
        <v>DARAT</v>
      </c>
      <c r="D17" s="246" t="str">
        <f t="array" ref="D17">IFERROR(VLOOKUP($H$2,IF(DATAKBA[NO]=LAMPIRAN!A17,DATAKBA[[TANGGAL]:[TARRA]],0),2,FALSE),"")</f>
        <v/>
      </c>
      <c r="E17" s="247" t="str">
        <f t="array" ref="E17">IFERROR(VLOOKUP($H$2,IF(DATAKBA[NO]=LAMPIRAN!A17,DATAKBA[[TANGGAL]:[TARRA]],0),3,FALSE),"")</f>
        <v/>
      </c>
      <c r="F17" s="248" t="str">
        <f t="array" ref="F17">IFERROR(VLOOKUP($H$2,IF(DATAKBA[NO]=LAMPIRAN!A17,DATAKBA[[TANGGAL]:[TARRA]],0),4,FALSE),"")</f>
        <v/>
      </c>
      <c r="G17" s="249" t="str">
        <f t="array" ref="G17">IFERROR(VLOOKUP($H$2,IF(DATAKBA[NO]=LAMPIRAN!A17,DATAKBA[[TANGGAL]:[TARRA]],0),5,FALSE),"")</f>
        <v/>
      </c>
      <c r="H17" s="251" t="str">
        <f t="array" ref="H17">IFERROR(VLOOKUP($H$2,IF(DATAKBA[NO]=LAMPIRAN!A17,DATAKBA[[TANGGAL]:[TARRA]],0),6,FALSE),"")</f>
        <v/>
      </c>
      <c r="I17" s="251" t="str">
        <f t="array" ref="I17">IFERROR(VLOOKUP($H$2,IF(DATAKBA[NO]=LAMPIRAN!A17,DATAKBA[[TANGGAL]:[TARRA]],0),7,FALSE),"")</f>
        <v/>
      </c>
      <c r="J17" s="251">
        <f t="shared" si="0"/>
        <v>0</v>
      </c>
      <c r="L17" s="216" t="str">
        <f t="shared" si="2"/>
        <v/>
      </c>
    </row>
    <row r="18" spans="1:12" s="34" customFormat="1" ht="18" hidden="1" customHeight="1">
      <c r="A18" s="34">
        <f t="shared" si="3"/>
        <v>13</v>
      </c>
      <c r="B18" s="34" t="str">
        <f t="shared" si="1"/>
        <v>DARAT</v>
      </c>
      <c r="D18" s="246" t="str">
        <f t="array" ref="D18">IFERROR(VLOOKUP($H$2,IF(DATAKBA[NO]=LAMPIRAN!A18,DATAKBA[[TANGGAL]:[TARRA]],0),2,FALSE),"")</f>
        <v/>
      </c>
      <c r="E18" s="247" t="str">
        <f t="array" ref="E18">IFERROR(VLOOKUP($H$2,IF(DATAKBA[NO]=LAMPIRAN!A18,DATAKBA[[TANGGAL]:[TARRA]],0),3,FALSE),"")</f>
        <v/>
      </c>
      <c r="F18" s="248" t="str">
        <f t="array" ref="F18">IFERROR(VLOOKUP($H$2,IF(DATAKBA[NO]=LAMPIRAN!A18,DATAKBA[[TANGGAL]:[TARRA]],0),4,FALSE),"")</f>
        <v/>
      </c>
      <c r="G18" s="249" t="str">
        <f t="array" ref="G18">IFERROR(VLOOKUP($H$2,IF(DATAKBA[NO]=LAMPIRAN!A18,DATAKBA[[TANGGAL]:[TARRA]],0),5,FALSE),"")</f>
        <v/>
      </c>
      <c r="H18" s="251" t="str">
        <f t="array" ref="H18">IFERROR(VLOOKUP($H$2,IF(DATAKBA[NO]=LAMPIRAN!A18,DATAKBA[[TANGGAL]:[TARRA]],0),6,FALSE),"")</f>
        <v/>
      </c>
      <c r="I18" s="251" t="str">
        <f t="array" ref="I18">IFERROR(VLOOKUP($H$2,IF(DATAKBA[NO]=LAMPIRAN!A18,DATAKBA[[TANGGAL]:[TARRA]],0),7,FALSE),"")</f>
        <v/>
      </c>
      <c r="J18" s="251">
        <f t="shared" si="0"/>
        <v>0</v>
      </c>
      <c r="L18" s="216" t="str">
        <f t="shared" si="2"/>
        <v/>
      </c>
    </row>
    <row r="19" spans="1:12" s="34" customFormat="1" ht="18" hidden="1" customHeight="1">
      <c r="A19" s="34">
        <f t="shared" si="3"/>
        <v>14</v>
      </c>
      <c r="B19" s="34" t="str">
        <f t="shared" si="1"/>
        <v>DARAT</v>
      </c>
      <c r="D19" s="246" t="str">
        <f t="array" ref="D19">IFERROR(VLOOKUP($H$2,IF(DATAKBA[NO]=LAMPIRAN!A19,DATAKBA[[TANGGAL]:[TARRA]],0),2,FALSE),"")</f>
        <v/>
      </c>
      <c r="E19" s="247" t="str">
        <f t="array" ref="E19">IFERROR(VLOOKUP($H$2,IF(DATAKBA[NO]=LAMPIRAN!A19,DATAKBA[[TANGGAL]:[TARRA]],0),3,FALSE),"")</f>
        <v/>
      </c>
      <c r="F19" s="248" t="str">
        <f t="array" ref="F19">IFERROR(VLOOKUP($H$2,IF(DATAKBA[NO]=LAMPIRAN!A19,DATAKBA[[TANGGAL]:[TARRA]],0),4,FALSE),"")</f>
        <v/>
      </c>
      <c r="G19" s="249" t="str">
        <f t="array" ref="G19">IFERROR(VLOOKUP($H$2,IF(DATAKBA[NO]=LAMPIRAN!A19,DATAKBA[[TANGGAL]:[TARRA]],0),5,FALSE),"")</f>
        <v/>
      </c>
      <c r="H19" s="251" t="str">
        <f t="array" ref="H19">IFERROR(VLOOKUP($H$2,IF(DATAKBA[NO]=LAMPIRAN!A19,DATAKBA[[TANGGAL]:[TARRA]],0),6,FALSE),"")</f>
        <v/>
      </c>
      <c r="I19" s="251" t="str">
        <f t="array" ref="I19">IFERROR(VLOOKUP($H$2,IF(DATAKBA[NO]=LAMPIRAN!A19,DATAKBA[[TANGGAL]:[TARRA]],0),7,FALSE),"")</f>
        <v/>
      </c>
      <c r="J19" s="251">
        <f t="shared" si="0"/>
        <v>0</v>
      </c>
      <c r="L19" s="216" t="str">
        <f t="shared" si="2"/>
        <v/>
      </c>
    </row>
    <row r="20" spans="1:12" s="34" customFormat="1" ht="18" hidden="1" customHeight="1">
      <c r="A20" s="34">
        <f t="shared" si="3"/>
        <v>15</v>
      </c>
      <c r="B20" s="34" t="str">
        <f t="shared" si="1"/>
        <v>DARAT</v>
      </c>
      <c r="D20" s="246" t="str">
        <f t="array" ref="D20">IFERROR(VLOOKUP($H$2,IF(DATAKBA[NO]=LAMPIRAN!A20,DATAKBA[[TANGGAL]:[TARRA]],0),2,FALSE),"")</f>
        <v/>
      </c>
      <c r="E20" s="247" t="str">
        <f t="array" ref="E20">IFERROR(VLOOKUP($H$2,IF(DATAKBA[NO]=LAMPIRAN!A20,DATAKBA[[TANGGAL]:[TARRA]],0),3,FALSE),"")</f>
        <v/>
      </c>
      <c r="F20" s="248" t="str">
        <f t="array" ref="F20">IFERROR(VLOOKUP($H$2,IF(DATAKBA[NO]=LAMPIRAN!A20,DATAKBA[[TANGGAL]:[TARRA]],0),4,FALSE),"")</f>
        <v/>
      </c>
      <c r="G20" s="249" t="str">
        <f t="array" ref="G20">IFERROR(VLOOKUP($H$2,IF(DATAKBA[NO]=LAMPIRAN!A20,DATAKBA[[TANGGAL]:[TARRA]],0),5,FALSE),"")</f>
        <v/>
      </c>
      <c r="H20" s="251" t="str">
        <f t="array" ref="H20">IFERROR(VLOOKUP($H$2,IF(DATAKBA[NO]=LAMPIRAN!A20,DATAKBA[[TANGGAL]:[TARRA]],0),6,FALSE),"")</f>
        <v/>
      </c>
      <c r="I20" s="251" t="str">
        <f t="array" ref="I20">IFERROR(VLOOKUP($H$2,IF(DATAKBA[NO]=LAMPIRAN!A20,DATAKBA[[TANGGAL]:[TARRA]],0),7,FALSE),"")</f>
        <v/>
      </c>
      <c r="J20" s="251">
        <f t="shared" si="0"/>
        <v>0</v>
      </c>
      <c r="L20" s="216" t="str">
        <f t="shared" si="2"/>
        <v/>
      </c>
    </row>
    <row r="21" spans="1:12" s="34" customFormat="1" ht="18" hidden="1" customHeight="1">
      <c r="A21" s="34">
        <f t="shared" si="3"/>
        <v>16</v>
      </c>
      <c r="B21" s="34" t="str">
        <f t="shared" si="1"/>
        <v>DARAT</v>
      </c>
      <c r="D21" s="246" t="str">
        <f t="array" ref="D21">IFERROR(VLOOKUP($H$2,IF(DATAKBA[NO]=LAMPIRAN!A21,DATAKBA[[TANGGAL]:[TARRA]],0),2,FALSE),"")</f>
        <v/>
      </c>
      <c r="E21" s="247" t="str">
        <f t="array" ref="E21">IFERROR(VLOOKUP($H$2,IF(DATAKBA[NO]=LAMPIRAN!A21,DATAKBA[[TANGGAL]:[TARRA]],0),3,FALSE),"")</f>
        <v/>
      </c>
      <c r="F21" s="248" t="str">
        <f t="array" ref="F21">IFERROR(VLOOKUP($H$2,IF(DATAKBA[NO]=LAMPIRAN!A21,DATAKBA[[TANGGAL]:[TARRA]],0),4,FALSE),"")</f>
        <v/>
      </c>
      <c r="G21" s="249" t="str">
        <f t="array" ref="G21">IFERROR(VLOOKUP($H$2,IF(DATAKBA[NO]=LAMPIRAN!A21,DATAKBA[[TANGGAL]:[TARRA]],0),5,FALSE),"")</f>
        <v/>
      </c>
      <c r="H21" s="251" t="str">
        <f t="array" ref="H21">IFERROR(VLOOKUP($H$2,IF(DATAKBA[NO]=LAMPIRAN!A21,DATAKBA[[TANGGAL]:[TARRA]],0),6,FALSE),"")</f>
        <v/>
      </c>
      <c r="I21" s="251" t="str">
        <f t="array" ref="I21">IFERROR(VLOOKUP($H$2,IF(DATAKBA[NO]=LAMPIRAN!A21,DATAKBA[[TANGGAL]:[TARRA]],0),7,FALSE),"")</f>
        <v/>
      </c>
      <c r="J21" s="251">
        <f t="shared" si="0"/>
        <v>0</v>
      </c>
      <c r="L21" s="216" t="str">
        <f t="shared" si="2"/>
        <v/>
      </c>
    </row>
    <row r="22" spans="1:12" s="34" customFormat="1" ht="18" hidden="1" customHeight="1">
      <c r="A22" s="34">
        <f t="shared" si="3"/>
        <v>17</v>
      </c>
      <c r="B22" s="34" t="str">
        <f t="shared" si="1"/>
        <v>DARAT</v>
      </c>
      <c r="D22" s="246" t="str">
        <f t="array" ref="D22">IFERROR(VLOOKUP($H$2,IF(DATAKBA[NO]=LAMPIRAN!A22,DATAKBA[[TANGGAL]:[TARRA]],0),2,FALSE),"")</f>
        <v/>
      </c>
      <c r="E22" s="247" t="str">
        <f t="array" ref="E22">IFERROR(VLOOKUP($H$2,IF(DATAKBA[NO]=LAMPIRAN!A22,DATAKBA[[TANGGAL]:[TARRA]],0),3,FALSE),"")</f>
        <v/>
      </c>
      <c r="F22" s="248" t="str">
        <f t="array" ref="F22">IFERROR(VLOOKUP($H$2,IF(DATAKBA[NO]=LAMPIRAN!A22,DATAKBA[[TANGGAL]:[TARRA]],0),4,FALSE),"")</f>
        <v/>
      </c>
      <c r="G22" s="249" t="str">
        <f t="array" ref="G22">IFERROR(VLOOKUP($H$2,IF(DATAKBA[NO]=LAMPIRAN!A22,DATAKBA[[TANGGAL]:[TARRA]],0),5,FALSE),"")</f>
        <v/>
      </c>
      <c r="H22" s="251" t="str">
        <f t="array" ref="H22">IFERROR(VLOOKUP($H$2,IF(DATAKBA[NO]=LAMPIRAN!A22,DATAKBA[[TANGGAL]:[TARRA]],0),6,FALSE),"")</f>
        <v/>
      </c>
      <c r="I22" s="251" t="str">
        <f t="array" ref="I22">IFERROR(VLOOKUP($H$2,IF(DATAKBA[NO]=LAMPIRAN!A22,DATAKBA[[TANGGAL]:[TARRA]],0),7,FALSE),"")</f>
        <v/>
      </c>
      <c r="J22" s="251">
        <f t="shared" si="0"/>
        <v>0</v>
      </c>
      <c r="L22" s="216" t="str">
        <f t="shared" si="2"/>
        <v/>
      </c>
    </row>
    <row r="23" spans="1:12" s="34" customFormat="1" ht="18" hidden="1" customHeight="1">
      <c r="A23" s="34">
        <f t="shared" si="3"/>
        <v>18</v>
      </c>
      <c r="B23" s="34" t="str">
        <f t="shared" si="1"/>
        <v>DARAT</v>
      </c>
      <c r="D23" s="246" t="str">
        <f t="array" ref="D23">IFERROR(VLOOKUP($H$2,IF(DATAKBA[NO]=LAMPIRAN!A23,DATAKBA[[TANGGAL]:[TARRA]],0),2,FALSE),"")</f>
        <v/>
      </c>
      <c r="E23" s="247" t="str">
        <f t="array" ref="E23">IFERROR(VLOOKUP($H$2,IF(DATAKBA[NO]=LAMPIRAN!A23,DATAKBA[[TANGGAL]:[TARRA]],0),3,FALSE),"")</f>
        <v/>
      </c>
      <c r="F23" s="248" t="str">
        <f t="array" ref="F23">IFERROR(VLOOKUP($H$2,IF(DATAKBA[NO]=LAMPIRAN!A23,DATAKBA[[TANGGAL]:[TARRA]],0),4,FALSE),"")</f>
        <v/>
      </c>
      <c r="G23" s="249" t="str">
        <f t="array" ref="G23">IFERROR(VLOOKUP($H$2,IF(DATAKBA[NO]=LAMPIRAN!A23,DATAKBA[[TANGGAL]:[TARRA]],0),5,FALSE),"")</f>
        <v/>
      </c>
      <c r="H23" s="251" t="str">
        <f t="array" ref="H23">IFERROR(VLOOKUP($H$2,IF(DATAKBA[NO]=LAMPIRAN!A23,DATAKBA[[TANGGAL]:[TARRA]],0),6,FALSE),"")</f>
        <v/>
      </c>
      <c r="I23" s="251" t="str">
        <f t="array" ref="I23">IFERROR(VLOOKUP($H$2,IF(DATAKBA[NO]=LAMPIRAN!A23,DATAKBA[[TANGGAL]:[TARRA]],0),7,FALSE),"")</f>
        <v/>
      </c>
      <c r="J23" s="251">
        <f t="shared" si="0"/>
        <v>0</v>
      </c>
      <c r="L23" s="216" t="str">
        <f t="shared" si="2"/>
        <v/>
      </c>
    </row>
    <row r="24" spans="1:12" s="34" customFormat="1" ht="18" hidden="1" customHeight="1">
      <c r="A24" s="34">
        <f t="shared" si="3"/>
        <v>19</v>
      </c>
      <c r="B24" s="34" t="str">
        <f t="shared" si="1"/>
        <v>DARAT</v>
      </c>
      <c r="D24" s="246" t="str">
        <f t="array" ref="D24">IFERROR(VLOOKUP($H$2,IF(DATAKBA[NO]=LAMPIRAN!A24,DATAKBA[[TANGGAL]:[TARRA]],0),2,FALSE),"")</f>
        <v/>
      </c>
      <c r="E24" s="247" t="str">
        <f t="array" ref="E24">IFERROR(VLOOKUP($H$2,IF(DATAKBA[NO]=LAMPIRAN!A24,DATAKBA[[TANGGAL]:[TARRA]],0),3,FALSE),"")</f>
        <v/>
      </c>
      <c r="F24" s="248" t="str">
        <f t="array" ref="F24">IFERROR(VLOOKUP($H$2,IF(DATAKBA[NO]=LAMPIRAN!A24,DATAKBA[[TANGGAL]:[TARRA]],0),4,FALSE),"")</f>
        <v/>
      </c>
      <c r="G24" s="249" t="str">
        <f t="array" ref="G24">IFERROR(VLOOKUP($H$2,IF(DATAKBA[NO]=LAMPIRAN!A24,DATAKBA[[TANGGAL]:[TARRA]],0),5,FALSE),"")</f>
        <v/>
      </c>
      <c r="H24" s="251" t="str">
        <f t="array" ref="H24">IFERROR(VLOOKUP($H$2,IF(DATAKBA[NO]=LAMPIRAN!A24,DATAKBA[[TANGGAL]:[TARRA]],0),6,FALSE),"")</f>
        <v/>
      </c>
      <c r="I24" s="251" t="str">
        <f t="array" ref="I24">IFERROR(VLOOKUP($H$2,IF(DATAKBA[NO]=LAMPIRAN!A24,DATAKBA[[TANGGAL]:[TARRA]],0),7,FALSE),"")</f>
        <v/>
      </c>
      <c r="J24" s="251">
        <f t="shared" si="0"/>
        <v>0</v>
      </c>
      <c r="L24" s="216" t="str">
        <f t="shared" si="2"/>
        <v/>
      </c>
    </row>
    <row r="25" spans="1:12" s="34" customFormat="1" ht="18" hidden="1" customHeight="1">
      <c r="A25" s="34">
        <f t="shared" si="3"/>
        <v>20</v>
      </c>
      <c r="B25" s="34" t="str">
        <f t="shared" si="1"/>
        <v>DARAT</v>
      </c>
      <c r="D25" s="246" t="str">
        <f t="array" ref="D25">IFERROR(VLOOKUP($H$2,IF(DATAKBA[NO]=LAMPIRAN!A25,DATAKBA[[TANGGAL]:[TARRA]],0),2,FALSE),"")</f>
        <v/>
      </c>
      <c r="E25" s="247" t="str">
        <f t="array" ref="E25">IFERROR(VLOOKUP($H$2,IF(DATAKBA[NO]=LAMPIRAN!A25,DATAKBA[[TANGGAL]:[TARRA]],0),3,FALSE),"")</f>
        <v/>
      </c>
      <c r="F25" s="248" t="str">
        <f t="array" ref="F25">IFERROR(VLOOKUP($H$2,IF(DATAKBA[NO]=LAMPIRAN!A25,DATAKBA[[TANGGAL]:[TARRA]],0),4,FALSE),"")</f>
        <v/>
      </c>
      <c r="G25" s="249" t="str">
        <f t="array" ref="G25">IFERROR(VLOOKUP($H$2,IF(DATAKBA[NO]=LAMPIRAN!A25,DATAKBA[[TANGGAL]:[TARRA]],0),5,FALSE),"")</f>
        <v/>
      </c>
      <c r="H25" s="251" t="str">
        <f t="array" ref="H25">IFERROR(VLOOKUP($H$2,IF(DATAKBA[NO]=LAMPIRAN!A25,DATAKBA[[TANGGAL]:[TARRA]],0),6,FALSE),"")</f>
        <v/>
      </c>
      <c r="I25" s="251" t="str">
        <f t="array" ref="I25">IFERROR(VLOOKUP($H$2,IF(DATAKBA[NO]=LAMPIRAN!A25,DATAKBA[[TANGGAL]:[TARRA]],0),7,FALSE),"")</f>
        <v/>
      </c>
      <c r="J25" s="251">
        <f t="shared" si="0"/>
        <v>0</v>
      </c>
      <c r="L25" s="216" t="str">
        <f t="shared" si="2"/>
        <v/>
      </c>
    </row>
    <row r="26" spans="1:12" s="34" customFormat="1" ht="18" hidden="1" customHeight="1">
      <c r="A26" s="34">
        <f t="shared" si="3"/>
        <v>21</v>
      </c>
      <c r="B26" s="34" t="str">
        <f t="shared" si="1"/>
        <v>DARAT</v>
      </c>
      <c r="D26" s="246" t="str">
        <f t="array" ref="D26">IFERROR(VLOOKUP($H$2,IF(DATAKBA[NO]=LAMPIRAN!A26,DATAKBA[[TANGGAL]:[TARRA]],0),2,FALSE),"")</f>
        <v/>
      </c>
      <c r="E26" s="247" t="str">
        <f t="array" ref="E26">IFERROR(VLOOKUP($H$2,IF(DATAKBA[NO]=LAMPIRAN!A26,DATAKBA[[TANGGAL]:[TARRA]],0),3,FALSE),"")</f>
        <v/>
      </c>
      <c r="F26" s="248" t="str">
        <f t="array" ref="F26">IFERROR(VLOOKUP($H$2,IF(DATAKBA[NO]=LAMPIRAN!A26,DATAKBA[[TANGGAL]:[TARRA]],0),4,FALSE),"")</f>
        <v/>
      </c>
      <c r="G26" s="249" t="str">
        <f t="array" ref="G26">IFERROR(VLOOKUP($H$2,IF(DATAKBA[NO]=LAMPIRAN!A26,DATAKBA[[TANGGAL]:[TARRA]],0),5,FALSE),"")</f>
        <v/>
      </c>
      <c r="H26" s="251" t="str">
        <f t="array" ref="H26">IFERROR(VLOOKUP($H$2,IF(DATAKBA[NO]=LAMPIRAN!A26,DATAKBA[[TANGGAL]:[TARRA]],0),6,FALSE),"")</f>
        <v/>
      </c>
      <c r="I26" s="251" t="str">
        <f t="array" ref="I26">IFERROR(VLOOKUP($H$2,IF(DATAKBA[NO]=LAMPIRAN!A26,DATAKBA[[TANGGAL]:[TARRA]],0),7,FALSE),"")</f>
        <v/>
      </c>
      <c r="J26" s="251">
        <f t="shared" si="0"/>
        <v>0</v>
      </c>
      <c r="L26" s="216" t="str">
        <f t="shared" si="2"/>
        <v/>
      </c>
    </row>
    <row r="27" spans="1:12" s="34" customFormat="1" ht="18" hidden="1" customHeight="1">
      <c r="A27" s="34">
        <f t="shared" si="3"/>
        <v>22</v>
      </c>
      <c r="B27" s="34" t="str">
        <f t="shared" si="1"/>
        <v>DARAT</v>
      </c>
      <c r="D27" s="246" t="str">
        <f t="array" ref="D27">IFERROR(VLOOKUP($H$2,IF(DATAKBA[NO]=LAMPIRAN!A27,DATAKBA[[TANGGAL]:[TARRA]],0),2,FALSE),"")</f>
        <v/>
      </c>
      <c r="E27" s="247" t="str">
        <f t="array" ref="E27">IFERROR(VLOOKUP($H$2,IF(DATAKBA[NO]=LAMPIRAN!A27,DATAKBA[[TANGGAL]:[TARRA]],0),3,FALSE),"")</f>
        <v/>
      </c>
      <c r="F27" s="248" t="str">
        <f t="array" ref="F27">IFERROR(VLOOKUP($H$2,IF(DATAKBA[NO]=LAMPIRAN!A27,DATAKBA[[TANGGAL]:[TARRA]],0),4,FALSE),"")</f>
        <v/>
      </c>
      <c r="G27" s="249" t="str">
        <f t="array" ref="G27">IFERROR(VLOOKUP($H$2,IF(DATAKBA[NO]=LAMPIRAN!A27,DATAKBA[[TANGGAL]:[TARRA]],0),5,FALSE),"")</f>
        <v/>
      </c>
      <c r="H27" s="251" t="str">
        <f t="array" ref="H27">IFERROR(VLOOKUP($H$2,IF(DATAKBA[NO]=LAMPIRAN!A27,DATAKBA[[TANGGAL]:[TARRA]],0),6,FALSE),"")</f>
        <v/>
      </c>
      <c r="I27" s="251" t="str">
        <f t="array" ref="I27">IFERROR(VLOOKUP($H$2,IF(DATAKBA[NO]=LAMPIRAN!A27,DATAKBA[[TANGGAL]:[TARRA]],0),7,FALSE),"")</f>
        <v/>
      </c>
      <c r="J27" s="251">
        <f t="shared" si="0"/>
        <v>0</v>
      </c>
      <c r="L27" s="216" t="str">
        <f t="shared" si="2"/>
        <v/>
      </c>
    </row>
    <row r="28" spans="1:12" s="34" customFormat="1" ht="18" hidden="1" customHeight="1">
      <c r="A28" s="34">
        <f t="shared" si="3"/>
        <v>23</v>
      </c>
      <c r="B28" s="34" t="str">
        <f t="shared" si="1"/>
        <v>DARAT</v>
      </c>
      <c r="D28" s="246" t="str">
        <f t="array" ref="D28">IFERROR(VLOOKUP($H$2,IF(DATAKBA[NO]=LAMPIRAN!A28,DATAKBA[[TANGGAL]:[TARRA]],0),2,FALSE),"")</f>
        <v/>
      </c>
      <c r="E28" s="247" t="str">
        <f t="array" ref="E28">IFERROR(VLOOKUP($H$2,IF(DATAKBA[NO]=LAMPIRAN!A28,DATAKBA[[TANGGAL]:[TARRA]],0),3,FALSE),"")</f>
        <v/>
      </c>
      <c r="F28" s="248" t="str">
        <f t="array" ref="F28">IFERROR(VLOOKUP($H$2,IF(DATAKBA[NO]=LAMPIRAN!A28,DATAKBA[[TANGGAL]:[TARRA]],0),4,FALSE),"")</f>
        <v/>
      </c>
      <c r="G28" s="249" t="str">
        <f t="array" ref="G28">IFERROR(VLOOKUP($H$2,IF(DATAKBA[NO]=LAMPIRAN!A28,DATAKBA[[TANGGAL]:[TARRA]],0),5,FALSE),"")</f>
        <v/>
      </c>
      <c r="H28" s="251" t="str">
        <f t="array" ref="H28">IFERROR(VLOOKUP($H$2,IF(DATAKBA[NO]=LAMPIRAN!A28,DATAKBA[[TANGGAL]:[TARRA]],0),6,FALSE),"")</f>
        <v/>
      </c>
      <c r="I28" s="251" t="str">
        <f t="array" ref="I28">IFERROR(VLOOKUP($H$2,IF(DATAKBA[NO]=LAMPIRAN!A28,DATAKBA[[TANGGAL]:[TARRA]],0),7,FALSE),"")</f>
        <v/>
      </c>
      <c r="J28" s="251">
        <f t="shared" si="0"/>
        <v>0</v>
      </c>
      <c r="L28" s="216" t="str">
        <f t="shared" si="2"/>
        <v/>
      </c>
    </row>
    <row r="29" spans="1:12" s="34" customFormat="1" ht="18" hidden="1" customHeight="1">
      <c r="A29" s="34">
        <f t="shared" si="3"/>
        <v>24</v>
      </c>
      <c r="B29" s="34" t="str">
        <f t="shared" si="1"/>
        <v>DARAT</v>
      </c>
      <c r="D29" s="246" t="str">
        <f t="array" ref="D29">IFERROR(VLOOKUP($H$2,IF(DATAKBA[NO]=LAMPIRAN!A29,DATAKBA[[TANGGAL]:[TARRA]],0),2,FALSE),"")</f>
        <v/>
      </c>
      <c r="E29" s="247" t="str">
        <f t="array" ref="E29">IFERROR(VLOOKUP($H$2,IF(DATAKBA[NO]=LAMPIRAN!A29,DATAKBA[[TANGGAL]:[TARRA]],0),3,FALSE),"")</f>
        <v/>
      </c>
      <c r="F29" s="248" t="str">
        <f t="array" ref="F29">IFERROR(VLOOKUP($H$2,IF(DATAKBA[NO]=LAMPIRAN!A29,DATAKBA[[TANGGAL]:[TARRA]],0),4,FALSE),"")</f>
        <v/>
      </c>
      <c r="G29" s="249" t="str">
        <f t="array" ref="G29">IFERROR(VLOOKUP($H$2,IF(DATAKBA[NO]=LAMPIRAN!A29,DATAKBA[[TANGGAL]:[TARRA]],0),5,FALSE),"")</f>
        <v/>
      </c>
      <c r="H29" s="251" t="str">
        <f t="array" ref="H29">IFERROR(VLOOKUP($H$2,IF(DATAKBA[NO]=LAMPIRAN!A29,DATAKBA[[TANGGAL]:[TARRA]],0),6,FALSE),"")</f>
        <v/>
      </c>
      <c r="I29" s="251" t="str">
        <f t="array" ref="I29">IFERROR(VLOOKUP($H$2,IF(DATAKBA[NO]=LAMPIRAN!A29,DATAKBA[[TANGGAL]:[TARRA]],0),7,FALSE),"")</f>
        <v/>
      </c>
      <c r="J29" s="251">
        <f t="shared" si="0"/>
        <v>0</v>
      </c>
      <c r="L29" s="216" t="str">
        <f t="shared" si="2"/>
        <v/>
      </c>
    </row>
    <row r="30" spans="1:12" s="34" customFormat="1" ht="18" hidden="1" customHeight="1">
      <c r="A30" s="34">
        <f t="shared" si="3"/>
        <v>25</v>
      </c>
      <c r="B30" s="34" t="str">
        <f t="shared" si="1"/>
        <v>DARAT</v>
      </c>
      <c r="D30" s="246" t="str">
        <f t="array" ref="D30">IFERROR(VLOOKUP($H$2,IF(DATAKBA[NO]=LAMPIRAN!A30,DATAKBA[[TANGGAL]:[TARRA]],0),2,FALSE),"")</f>
        <v/>
      </c>
      <c r="E30" s="247" t="str">
        <f t="array" ref="E30">IFERROR(VLOOKUP($H$2,IF(DATAKBA[NO]=LAMPIRAN!A30,DATAKBA[[TANGGAL]:[TARRA]],0),3,FALSE),"")</f>
        <v/>
      </c>
      <c r="F30" s="248" t="str">
        <f t="array" ref="F30">IFERROR(VLOOKUP($H$2,IF(DATAKBA[NO]=LAMPIRAN!A30,DATAKBA[[TANGGAL]:[TARRA]],0),4,FALSE),"")</f>
        <v/>
      </c>
      <c r="G30" s="249" t="str">
        <f t="array" ref="G30">IFERROR(VLOOKUP($H$2,IF(DATAKBA[NO]=LAMPIRAN!A30,DATAKBA[[TANGGAL]:[TARRA]],0),5,FALSE),"")</f>
        <v/>
      </c>
      <c r="H30" s="251" t="str">
        <f t="array" ref="H30">IFERROR(VLOOKUP($H$2,IF(DATAKBA[NO]=LAMPIRAN!A30,DATAKBA[[TANGGAL]:[TARRA]],0),6,FALSE),"")</f>
        <v/>
      </c>
      <c r="I30" s="251" t="str">
        <f t="array" ref="I30">IFERROR(VLOOKUP($H$2,IF(DATAKBA[NO]=LAMPIRAN!A30,DATAKBA[[TANGGAL]:[TARRA]],0),7,FALSE),"")</f>
        <v/>
      </c>
      <c r="J30" s="251">
        <f t="shared" si="0"/>
        <v>0</v>
      </c>
      <c r="L30" s="216" t="str">
        <f t="shared" si="2"/>
        <v/>
      </c>
    </row>
    <row r="31" spans="1:12" s="34" customFormat="1" ht="18" hidden="1" customHeight="1">
      <c r="A31" s="34">
        <f t="shared" si="3"/>
        <v>26</v>
      </c>
      <c r="B31" s="34" t="str">
        <f t="shared" si="1"/>
        <v>DARAT</v>
      </c>
      <c r="D31" s="246" t="str">
        <f t="array" ref="D31">IFERROR(VLOOKUP($H$2,IF(DATAKBA[NO]=LAMPIRAN!A31,DATAKBA[[TANGGAL]:[TARRA]],0),2,FALSE),"")</f>
        <v/>
      </c>
      <c r="E31" s="247" t="str">
        <f t="array" ref="E31">IFERROR(VLOOKUP($H$2,IF(DATAKBA[NO]=LAMPIRAN!A31,DATAKBA[[TANGGAL]:[TARRA]],0),3,FALSE),"")</f>
        <v/>
      </c>
      <c r="F31" s="248" t="str">
        <f t="array" ref="F31">IFERROR(VLOOKUP($H$2,IF(DATAKBA[NO]=LAMPIRAN!A31,DATAKBA[[TANGGAL]:[TARRA]],0),4,FALSE),"")</f>
        <v/>
      </c>
      <c r="G31" s="249" t="str">
        <f t="array" ref="G31">IFERROR(VLOOKUP($H$2,IF(DATAKBA[NO]=LAMPIRAN!A31,DATAKBA[[TANGGAL]:[TARRA]],0),5,FALSE),"")</f>
        <v/>
      </c>
      <c r="H31" s="251" t="str">
        <f t="array" ref="H31">IFERROR(VLOOKUP($H$2,IF(DATAKBA[NO]=LAMPIRAN!A31,DATAKBA[[TANGGAL]:[TARRA]],0),6,FALSE),"")</f>
        <v/>
      </c>
      <c r="I31" s="251" t="str">
        <f t="array" ref="I31">IFERROR(VLOOKUP($H$2,IF(DATAKBA[NO]=LAMPIRAN!A31,DATAKBA[[TANGGAL]:[TARRA]],0),7,FALSE),"")</f>
        <v/>
      </c>
      <c r="J31" s="251">
        <f t="shared" si="0"/>
        <v>0</v>
      </c>
      <c r="L31" s="216" t="str">
        <f t="shared" si="2"/>
        <v/>
      </c>
    </row>
    <row r="32" spans="1:12" s="34" customFormat="1" ht="18" hidden="1" customHeight="1">
      <c r="A32" s="34">
        <f t="shared" si="3"/>
        <v>27</v>
      </c>
      <c r="B32" s="34" t="str">
        <f t="shared" si="1"/>
        <v>DARAT</v>
      </c>
      <c r="D32" s="246" t="str">
        <f t="array" ref="D32">IFERROR(VLOOKUP($H$2,IF(DATAKBA[NO]=LAMPIRAN!A32,DATAKBA[[TANGGAL]:[TARRA]],0),2,FALSE),"")</f>
        <v/>
      </c>
      <c r="E32" s="247" t="str">
        <f t="array" ref="E32">IFERROR(VLOOKUP($H$2,IF(DATAKBA[NO]=LAMPIRAN!A32,DATAKBA[[TANGGAL]:[TARRA]],0),3,FALSE),"")</f>
        <v/>
      </c>
      <c r="F32" s="248" t="str">
        <f t="array" ref="F32">IFERROR(VLOOKUP($H$2,IF(DATAKBA[NO]=LAMPIRAN!A32,DATAKBA[[TANGGAL]:[TARRA]],0),4,FALSE),"")</f>
        <v/>
      </c>
      <c r="G32" s="249" t="str">
        <f t="array" ref="G32">IFERROR(VLOOKUP($H$2,IF(DATAKBA[NO]=LAMPIRAN!A32,DATAKBA[[TANGGAL]:[TARRA]],0),5,FALSE),"")</f>
        <v/>
      </c>
      <c r="H32" s="251" t="str">
        <f t="array" ref="H32">IFERROR(VLOOKUP($H$2,IF(DATAKBA[NO]=LAMPIRAN!A32,DATAKBA[[TANGGAL]:[TARRA]],0),6,FALSE),"")</f>
        <v/>
      </c>
      <c r="I32" s="251" t="str">
        <f t="array" ref="I32">IFERROR(VLOOKUP($H$2,IF(DATAKBA[NO]=LAMPIRAN!A32,DATAKBA[[TANGGAL]:[TARRA]],0),7,FALSE),"")</f>
        <v/>
      </c>
      <c r="J32" s="251">
        <f t="shared" si="0"/>
        <v>0</v>
      </c>
      <c r="L32" s="216" t="str">
        <f t="shared" si="2"/>
        <v/>
      </c>
    </row>
    <row r="33" spans="1:12" s="34" customFormat="1" ht="18" hidden="1" customHeight="1">
      <c r="A33" s="34">
        <f t="shared" si="3"/>
        <v>28</v>
      </c>
      <c r="B33" s="34" t="str">
        <f t="shared" si="1"/>
        <v>DARAT</v>
      </c>
      <c r="D33" s="246" t="str">
        <f t="array" ref="D33">IFERROR(VLOOKUP($H$2,IF(DATAKBA[NO]=LAMPIRAN!A33,DATAKBA[[TANGGAL]:[TARRA]],0),2,FALSE),"")</f>
        <v/>
      </c>
      <c r="E33" s="247" t="str">
        <f t="array" ref="E33">IFERROR(VLOOKUP($H$2,IF(DATAKBA[NO]=LAMPIRAN!A33,DATAKBA[[TANGGAL]:[TARRA]],0),3,FALSE),"")</f>
        <v/>
      </c>
      <c r="F33" s="248" t="str">
        <f t="array" ref="F33">IFERROR(VLOOKUP($H$2,IF(DATAKBA[NO]=LAMPIRAN!A33,DATAKBA[[TANGGAL]:[TARRA]],0),4,FALSE),"")</f>
        <v/>
      </c>
      <c r="G33" s="249" t="str">
        <f t="array" ref="G33">IFERROR(VLOOKUP($H$2,IF(DATAKBA[NO]=LAMPIRAN!A33,DATAKBA[[TANGGAL]:[TARRA]],0),5,FALSE),"")</f>
        <v/>
      </c>
      <c r="H33" s="251" t="str">
        <f t="array" ref="H33">IFERROR(VLOOKUP($H$2,IF(DATAKBA[NO]=LAMPIRAN!A33,DATAKBA[[TANGGAL]:[TARRA]],0),6,FALSE),"")</f>
        <v/>
      </c>
      <c r="I33" s="251" t="str">
        <f t="array" ref="I33">IFERROR(VLOOKUP($H$2,IF(DATAKBA[NO]=LAMPIRAN!A33,DATAKBA[[TANGGAL]:[TARRA]],0),7,FALSE),"")</f>
        <v/>
      </c>
      <c r="J33" s="251">
        <f t="shared" si="0"/>
        <v>0</v>
      </c>
      <c r="L33" s="216" t="str">
        <f t="shared" si="2"/>
        <v/>
      </c>
    </row>
    <row r="34" spans="1:12" s="34" customFormat="1" ht="18" hidden="1" customHeight="1">
      <c r="A34" s="34">
        <f t="shared" si="3"/>
        <v>29</v>
      </c>
      <c r="B34" s="34" t="str">
        <f t="shared" si="1"/>
        <v>DARAT</v>
      </c>
      <c r="D34" s="246" t="str">
        <f t="array" ref="D34">IFERROR(VLOOKUP($H$2,IF(DATAKBA[NO]=LAMPIRAN!A34,DATAKBA[[TANGGAL]:[TARRA]],0),2,FALSE),"")</f>
        <v/>
      </c>
      <c r="E34" s="247" t="str">
        <f t="array" ref="E34">IFERROR(VLOOKUP($H$2,IF(DATAKBA[NO]=LAMPIRAN!A34,DATAKBA[[TANGGAL]:[TARRA]],0),3,FALSE),"")</f>
        <v/>
      </c>
      <c r="F34" s="248" t="str">
        <f t="array" ref="F34">IFERROR(VLOOKUP($H$2,IF(DATAKBA[NO]=LAMPIRAN!A34,DATAKBA[[TANGGAL]:[TARRA]],0),4,FALSE),"")</f>
        <v/>
      </c>
      <c r="G34" s="249" t="str">
        <f t="array" ref="G34">IFERROR(VLOOKUP($H$2,IF(DATAKBA[NO]=LAMPIRAN!A34,DATAKBA[[TANGGAL]:[TARRA]],0),5,FALSE),"")</f>
        <v/>
      </c>
      <c r="H34" s="251" t="str">
        <f t="array" ref="H34">IFERROR(VLOOKUP($H$2,IF(DATAKBA[NO]=LAMPIRAN!A34,DATAKBA[[TANGGAL]:[TARRA]],0),6,FALSE),"")</f>
        <v/>
      </c>
      <c r="I34" s="251" t="str">
        <f t="array" ref="I34">IFERROR(VLOOKUP($H$2,IF(DATAKBA[NO]=LAMPIRAN!A34,DATAKBA[[TANGGAL]:[TARRA]],0),7,FALSE),"")</f>
        <v/>
      </c>
      <c r="J34" s="251">
        <f t="shared" ref="J34:J55" si="4">IFERROR(H34-I34,0)</f>
        <v>0</v>
      </c>
      <c r="L34" s="216" t="str">
        <f t="shared" si="2"/>
        <v/>
      </c>
    </row>
    <row r="35" spans="1:12" s="34" customFormat="1" ht="18" hidden="1" customHeight="1">
      <c r="A35" s="34">
        <f t="shared" si="3"/>
        <v>30</v>
      </c>
      <c r="B35" s="34" t="str">
        <f t="shared" si="1"/>
        <v>DARAT</v>
      </c>
      <c r="D35" s="246" t="str">
        <f t="array" ref="D35">IFERROR(VLOOKUP($H$2,IF(DATAKBA[NO]=LAMPIRAN!A35,DATAKBA[[TANGGAL]:[TARRA]],0),2,FALSE),"")</f>
        <v/>
      </c>
      <c r="E35" s="247" t="str">
        <f t="array" ref="E35">IFERROR(VLOOKUP($H$2,IF(DATAKBA[NO]=LAMPIRAN!A35,DATAKBA[[TANGGAL]:[TARRA]],0),3,FALSE),"")</f>
        <v/>
      </c>
      <c r="F35" s="248" t="str">
        <f t="array" ref="F35">IFERROR(VLOOKUP($H$2,IF(DATAKBA[NO]=LAMPIRAN!A35,DATAKBA[[TANGGAL]:[TARRA]],0),4,FALSE),"")</f>
        <v/>
      </c>
      <c r="G35" s="249" t="str">
        <f t="array" ref="G35">IFERROR(VLOOKUP($H$2,IF(DATAKBA[NO]=LAMPIRAN!A35,DATAKBA[[TANGGAL]:[TARRA]],0),5,FALSE),"")</f>
        <v/>
      </c>
      <c r="H35" s="251" t="str">
        <f t="array" ref="H35">IFERROR(VLOOKUP($H$2,IF(DATAKBA[NO]=LAMPIRAN!A35,DATAKBA[[TANGGAL]:[TARRA]],0),6,FALSE),"")</f>
        <v/>
      </c>
      <c r="I35" s="251" t="str">
        <f t="array" ref="I35">IFERROR(VLOOKUP($H$2,IF(DATAKBA[NO]=LAMPIRAN!A35,DATAKBA[[TANGGAL]:[TARRA]],0),7,FALSE),"")</f>
        <v/>
      </c>
      <c r="J35" s="251">
        <f t="shared" si="4"/>
        <v>0</v>
      </c>
      <c r="L35" s="216" t="str">
        <f t="shared" si="2"/>
        <v/>
      </c>
    </row>
    <row r="36" spans="1:12" s="34" customFormat="1" ht="18" hidden="1" customHeight="1">
      <c r="A36" s="34">
        <f t="shared" si="3"/>
        <v>31</v>
      </c>
      <c r="B36" s="34" t="str">
        <f t="shared" si="1"/>
        <v>DARAT</v>
      </c>
      <c r="D36" s="246" t="str">
        <f t="array" ref="D36">IFERROR(VLOOKUP($H$2,IF(DATAKBA[NO]=LAMPIRAN!A36,DATAKBA[[TANGGAL]:[TARRA]],0),2,FALSE),"")</f>
        <v/>
      </c>
      <c r="E36" s="247" t="str">
        <f t="array" ref="E36">IFERROR(VLOOKUP($H$2,IF(DATAKBA[NO]=LAMPIRAN!A36,DATAKBA[[TANGGAL]:[TARRA]],0),3,FALSE),"")</f>
        <v/>
      </c>
      <c r="F36" s="248" t="str">
        <f t="array" ref="F36">IFERROR(VLOOKUP($H$2,IF(DATAKBA[NO]=LAMPIRAN!A36,DATAKBA[[TANGGAL]:[TARRA]],0),4,FALSE),"")</f>
        <v/>
      </c>
      <c r="G36" s="249" t="str">
        <f t="array" ref="G36">IFERROR(VLOOKUP($H$2,IF(DATAKBA[NO]=LAMPIRAN!A36,DATAKBA[[TANGGAL]:[TARRA]],0),5,FALSE),"")</f>
        <v/>
      </c>
      <c r="H36" s="251" t="str">
        <f t="array" ref="H36">IFERROR(VLOOKUP($H$2,IF(DATAKBA[NO]=LAMPIRAN!A36,DATAKBA[[TANGGAL]:[TARRA]],0),6,FALSE),"")</f>
        <v/>
      </c>
      <c r="I36" s="251" t="str">
        <f t="array" ref="I36">IFERROR(VLOOKUP($H$2,IF(DATAKBA[NO]=LAMPIRAN!A36,DATAKBA[[TANGGAL]:[TARRA]],0),7,FALSE),"")</f>
        <v/>
      </c>
      <c r="J36" s="251">
        <f t="shared" si="4"/>
        <v>0</v>
      </c>
      <c r="L36" s="216" t="str">
        <f t="shared" si="2"/>
        <v/>
      </c>
    </row>
    <row r="37" spans="1:12" s="34" customFormat="1" ht="18" hidden="1" customHeight="1">
      <c r="A37" s="34">
        <f t="shared" si="3"/>
        <v>32</v>
      </c>
      <c r="B37" s="34" t="str">
        <f t="shared" si="1"/>
        <v>DARAT</v>
      </c>
      <c r="D37" s="246" t="str">
        <f t="array" ref="D37">IFERROR(VLOOKUP($H$2,IF(DATAKBA[NO]=LAMPIRAN!A37,DATAKBA[[TANGGAL]:[TARRA]],0),2,FALSE),"")</f>
        <v/>
      </c>
      <c r="E37" s="247" t="str">
        <f t="array" ref="E37">IFERROR(VLOOKUP($H$2,IF(DATAKBA[NO]=LAMPIRAN!A37,DATAKBA[[TANGGAL]:[TARRA]],0),3,FALSE),"")</f>
        <v/>
      </c>
      <c r="F37" s="248" t="str">
        <f t="array" ref="F37">IFERROR(VLOOKUP($H$2,IF(DATAKBA[NO]=LAMPIRAN!A37,DATAKBA[[TANGGAL]:[TARRA]],0),4,FALSE),"")</f>
        <v/>
      </c>
      <c r="G37" s="249" t="str">
        <f t="array" ref="G37">IFERROR(VLOOKUP($H$2,IF(DATAKBA[NO]=LAMPIRAN!A37,DATAKBA[[TANGGAL]:[TARRA]],0),5,FALSE),"")</f>
        <v/>
      </c>
      <c r="H37" s="251" t="str">
        <f t="array" ref="H37">IFERROR(VLOOKUP($H$2,IF(DATAKBA[NO]=LAMPIRAN!A37,DATAKBA[[TANGGAL]:[TARRA]],0),6,FALSE),"")</f>
        <v/>
      </c>
      <c r="I37" s="251" t="str">
        <f t="array" ref="I37">IFERROR(VLOOKUP($H$2,IF(DATAKBA[NO]=LAMPIRAN!A37,DATAKBA[[TANGGAL]:[TARRA]],0),7,FALSE),"")</f>
        <v/>
      </c>
      <c r="J37" s="251">
        <f t="shared" si="4"/>
        <v>0</v>
      </c>
      <c r="L37" s="216" t="str">
        <f t="shared" si="2"/>
        <v/>
      </c>
    </row>
    <row r="38" spans="1:12" s="34" customFormat="1" ht="18" hidden="1" customHeight="1">
      <c r="A38" s="34">
        <f t="shared" si="3"/>
        <v>33</v>
      </c>
      <c r="B38" s="34" t="str">
        <f t="shared" si="1"/>
        <v>DARAT</v>
      </c>
      <c r="D38" s="246" t="str">
        <f t="array" ref="D38">IFERROR(VLOOKUP($H$2,IF(DATAKBA[NO]=LAMPIRAN!A38,DATAKBA[[TANGGAL]:[TARRA]],0),2,FALSE),"")</f>
        <v/>
      </c>
      <c r="E38" s="247" t="str">
        <f t="array" ref="E38">IFERROR(VLOOKUP($H$2,IF(DATAKBA[NO]=LAMPIRAN!A38,DATAKBA[[TANGGAL]:[TARRA]],0),3,FALSE),"")</f>
        <v/>
      </c>
      <c r="F38" s="248" t="str">
        <f t="array" ref="F38">IFERROR(VLOOKUP($H$2,IF(DATAKBA[NO]=LAMPIRAN!A38,DATAKBA[[TANGGAL]:[TARRA]],0),4,FALSE),"")</f>
        <v/>
      </c>
      <c r="G38" s="249" t="str">
        <f t="array" ref="G38">IFERROR(VLOOKUP($H$2,IF(DATAKBA[NO]=LAMPIRAN!A38,DATAKBA[[TANGGAL]:[TARRA]],0),5,FALSE),"")</f>
        <v/>
      </c>
      <c r="H38" s="251" t="str">
        <f t="array" ref="H38">IFERROR(VLOOKUP($H$2,IF(DATAKBA[NO]=LAMPIRAN!A38,DATAKBA[[TANGGAL]:[TARRA]],0),6,FALSE),"")</f>
        <v/>
      </c>
      <c r="I38" s="251" t="str">
        <f t="array" ref="I38">IFERROR(VLOOKUP($H$2,IF(DATAKBA[NO]=LAMPIRAN!A38,DATAKBA[[TANGGAL]:[TARRA]],0),7,FALSE),"")</f>
        <v/>
      </c>
      <c r="J38" s="251">
        <f t="shared" si="4"/>
        <v>0</v>
      </c>
      <c r="L38" s="216" t="str">
        <f t="shared" si="2"/>
        <v/>
      </c>
    </row>
    <row r="39" spans="1:12" s="34" customFormat="1" ht="18" hidden="1" customHeight="1">
      <c r="A39" s="34">
        <f t="shared" si="3"/>
        <v>34</v>
      </c>
      <c r="B39" s="34" t="str">
        <f t="shared" si="1"/>
        <v>DARAT</v>
      </c>
      <c r="D39" s="246" t="str">
        <f t="array" ref="D39">IFERROR(VLOOKUP($H$2,IF(DATAKBA[NO]=LAMPIRAN!A39,DATAKBA[[TANGGAL]:[TARRA]],0),2,FALSE),"")</f>
        <v/>
      </c>
      <c r="E39" s="247" t="str">
        <f t="array" ref="E39">IFERROR(VLOOKUP($H$2,IF(DATAKBA[NO]=LAMPIRAN!A39,DATAKBA[[TANGGAL]:[TARRA]],0),3,FALSE),"")</f>
        <v/>
      </c>
      <c r="F39" s="248" t="str">
        <f t="array" ref="F39">IFERROR(VLOOKUP($H$2,IF(DATAKBA[NO]=LAMPIRAN!A39,DATAKBA[[TANGGAL]:[TARRA]],0),4,FALSE),"")</f>
        <v/>
      </c>
      <c r="G39" s="249" t="str">
        <f t="array" ref="G39">IFERROR(VLOOKUP($H$2,IF(DATAKBA[NO]=LAMPIRAN!A39,DATAKBA[[TANGGAL]:[TARRA]],0),5,FALSE),"")</f>
        <v/>
      </c>
      <c r="H39" s="251" t="str">
        <f t="array" ref="H39">IFERROR(VLOOKUP($H$2,IF(DATAKBA[NO]=LAMPIRAN!A39,DATAKBA[[TANGGAL]:[TARRA]],0),6,FALSE),"")</f>
        <v/>
      </c>
      <c r="I39" s="251" t="str">
        <f t="array" ref="I39">IFERROR(VLOOKUP($H$2,IF(DATAKBA[NO]=LAMPIRAN!A39,DATAKBA[[TANGGAL]:[TARRA]],0),7,FALSE),"")</f>
        <v/>
      </c>
      <c r="J39" s="251">
        <f t="shared" si="4"/>
        <v>0</v>
      </c>
      <c r="L39" s="216" t="str">
        <f t="shared" si="2"/>
        <v/>
      </c>
    </row>
    <row r="40" spans="1:12" s="34" customFormat="1" ht="18" hidden="1" customHeight="1">
      <c r="A40" s="34">
        <f t="shared" si="3"/>
        <v>35</v>
      </c>
      <c r="B40" s="34" t="str">
        <f t="shared" si="1"/>
        <v>DARAT</v>
      </c>
      <c r="D40" s="246" t="str">
        <f t="array" ref="D40">IFERROR(VLOOKUP($H$2,IF(DATAKBA[NO]=LAMPIRAN!A40,DATAKBA[[TANGGAL]:[TARRA]],0),2,FALSE),"")</f>
        <v/>
      </c>
      <c r="E40" s="247" t="str">
        <f t="array" ref="E40">IFERROR(VLOOKUP($H$2,IF(DATAKBA[NO]=LAMPIRAN!A40,DATAKBA[[TANGGAL]:[TARRA]],0),3,FALSE),"")</f>
        <v/>
      </c>
      <c r="F40" s="248" t="str">
        <f t="array" ref="F40">IFERROR(VLOOKUP($H$2,IF(DATAKBA[NO]=LAMPIRAN!A40,DATAKBA[[TANGGAL]:[TARRA]],0),4,FALSE),"")</f>
        <v/>
      </c>
      <c r="G40" s="249" t="str">
        <f t="array" ref="G40">IFERROR(VLOOKUP($H$2,IF(DATAKBA[NO]=LAMPIRAN!A40,DATAKBA[[TANGGAL]:[TARRA]],0),5,FALSE),"")</f>
        <v/>
      </c>
      <c r="H40" s="251" t="str">
        <f t="array" ref="H40">IFERROR(VLOOKUP($H$2,IF(DATAKBA[NO]=LAMPIRAN!A40,DATAKBA[[TANGGAL]:[TARRA]],0),6,FALSE),"")</f>
        <v/>
      </c>
      <c r="I40" s="251" t="str">
        <f t="array" ref="I40">IFERROR(VLOOKUP($H$2,IF(DATAKBA[NO]=LAMPIRAN!A40,DATAKBA[[TANGGAL]:[TARRA]],0),7,FALSE),"")</f>
        <v/>
      </c>
      <c r="J40" s="251">
        <f t="shared" si="4"/>
        <v>0</v>
      </c>
      <c r="L40" s="216" t="str">
        <f t="shared" si="2"/>
        <v/>
      </c>
    </row>
    <row r="41" spans="1:12" s="34" customFormat="1" ht="18" hidden="1" customHeight="1">
      <c r="A41" s="34">
        <f t="shared" si="3"/>
        <v>36</v>
      </c>
      <c r="B41" s="34" t="str">
        <f t="shared" si="1"/>
        <v>DARAT</v>
      </c>
      <c r="D41" s="246" t="str">
        <f t="array" ref="D41">IFERROR(VLOOKUP($H$2,IF(DATAKBA[NO]=LAMPIRAN!A41,DATAKBA[[TANGGAL]:[TARRA]],0),2,FALSE),"")</f>
        <v/>
      </c>
      <c r="E41" s="247" t="str">
        <f t="array" ref="E41">IFERROR(VLOOKUP($H$2,IF(DATAKBA[NO]=LAMPIRAN!A41,DATAKBA[[TANGGAL]:[TARRA]],0),3,FALSE),"")</f>
        <v/>
      </c>
      <c r="F41" s="248" t="str">
        <f t="array" ref="F41">IFERROR(VLOOKUP($H$2,IF(DATAKBA[NO]=LAMPIRAN!A41,DATAKBA[[TANGGAL]:[TARRA]],0),4,FALSE),"")</f>
        <v/>
      </c>
      <c r="G41" s="249" t="str">
        <f t="array" ref="G41">IFERROR(VLOOKUP($H$2,IF(DATAKBA[NO]=LAMPIRAN!A41,DATAKBA[[TANGGAL]:[TARRA]],0),5,FALSE),"")</f>
        <v/>
      </c>
      <c r="H41" s="251" t="str">
        <f t="array" ref="H41">IFERROR(VLOOKUP($H$2,IF(DATAKBA[NO]=LAMPIRAN!A41,DATAKBA[[TANGGAL]:[TARRA]],0),6,FALSE),"")</f>
        <v/>
      </c>
      <c r="I41" s="251" t="str">
        <f t="array" ref="I41">IFERROR(VLOOKUP($H$2,IF(DATAKBA[NO]=LAMPIRAN!A41,DATAKBA[[TANGGAL]:[TARRA]],0),7,FALSE),"")</f>
        <v/>
      </c>
      <c r="J41" s="251">
        <f t="shared" si="4"/>
        <v>0</v>
      </c>
      <c r="L41" s="216" t="str">
        <f t="shared" si="2"/>
        <v/>
      </c>
    </row>
    <row r="42" spans="1:12" s="34" customFormat="1" ht="18" hidden="1" customHeight="1">
      <c r="A42" s="34">
        <f t="shared" si="3"/>
        <v>37</v>
      </c>
      <c r="B42" s="34" t="str">
        <f t="shared" si="1"/>
        <v>DARAT</v>
      </c>
      <c r="D42" s="246" t="str">
        <f t="array" ref="D42">IFERROR(VLOOKUP($H$2,IF(DATAKBA[NO]=LAMPIRAN!A42,DATAKBA[[TANGGAL]:[TARRA]],0),2,FALSE),"")</f>
        <v/>
      </c>
      <c r="E42" s="247" t="str">
        <f t="array" ref="E42">IFERROR(VLOOKUP($H$2,IF(DATAKBA[NO]=LAMPIRAN!A42,DATAKBA[[TANGGAL]:[TARRA]],0),3,FALSE),"")</f>
        <v/>
      </c>
      <c r="F42" s="248" t="str">
        <f t="array" ref="F42">IFERROR(VLOOKUP($H$2,IF(DATAKBA[NO]=LAMPIRAN!A42,DATAKBA[[TANGGAL]:[TARRA]],0),4,FALSE),"")</f>
        <v/>
      </c>
      <c r="G42" s="249" t="str">
        <f t="array" ref="G42">IFERROR(VLOOKUP($H$2,IF(DATAKBA[NO]=LAMPIRAN!A42,DATAKBA[[TANGGAL]:[TARRA]],0),5,FALSE),"")</f>
        <v/>
      </c>
      <c r="H42" s="251" t="str">
        <f t="array" ref="H42">IFERROR(VLOOKUP($H$2,IF(DATAKBA[NO]=LAMPIRAN!A42,DATAKBA[[TANGGAL]:[TARRA]],0),6,FALSE),"")</f>
        <v/>
      </c>
      <c r="I42" s="251" t="str">
        <f t="array" ref="I42">IFERROR(VLOOKUP($H$2,IF(DATAKBA[NO]=LAMPIRAN!A42,DATAKBA[[TANGGAL]:[TARRA]],0),7,FALSE),"")</f>
        <v/>
      </c>
      <c r="J42" s="251">
        <f t="shared" si="4"/>
        <v>0</v>
      </c>
      <c r="L42" s="216" t="str">
        <f t="shared" si="2"/>
        <v/>
      </c>
    </row>
    <row r="43" spans="1:12" s="34" customFormat="1" ht="18" hidden="1" customHeight="1">
      <c r="A43" s="34">
        <f t="shared" si="3"/>
        <v>38</v>
      </c>
      <c r="B43" s="34" t="str">
        <f t="shared" si="1"/>
        <v>DARAT</v>
      </c>
      <c r="D43" s="246" t="str">
        <f t="array" ref="D43">IFERROR(VLOOKUP($H$2,IF(DATAKBA[NO]=LAMPIRAN!A43,DATAKBA[[TANGGAL]:[TARRA]],0),2,FALSE),"")</f>
        <v/>
      </c>
      <c r="E43" s="247" t="str">
        <f t="array" ref="E43">IFERROR(VLOOKUP($H$2,IF(DATAKBA[NO]=LAMPIRAN!A43,DATAKBA[[TANGGAL]:[TARRA]],0),3,FALSE),"")</f>
        <v/>
      </c>
      <c r="F43" s="248" t="str">
        <f t="array" ref="F43">IFERROR(VLOOKUP($H$2,IF(DATAKBA[NO]=LAMPIRAN!A43,DATAKBA[[TANGGAL]:[TARRA]],0),4,FALSE),"")</f>
        <v/>
      </c>
      <c r="G43" s="249" t="str">
        <f t="array" ref="G43">IFERROR(VLOOKUP($H$2,IF(DATAKBA[NO]=LAMPIRAN!A43,DATAKBA[[TANGGAL]:[TARRA]],0),5,FALSE),"")</f>
        <v/>
      </c>
      <c r="H43" s="251" t="str">
        <f t="array" ref="H43">IFERROR(VLOOKUP($H$2,IF(DATAKBA[NO]=LAMPIRAN!A43,DATAKBA[[TANGGAL]:[TARRA]],0),6,FALSE),"")</f>
        <v/>
      </c>
      <c r="I43" s="251" t="str">
        <f t="array" ref="I43">IFERROR(VLOOKUP($H$2,IF(DATAKBA[NO]=LAMPIRAN!A43,DATAKBA[[TANGGAL]:[TARRA]],0),7,FALSE),"")</f>
        <v/>
      </c>
      <c r="J43" s="251">
        <f t="shared" si="4"/>
        <v>0</v>
      </c>
      <c r="L43" s="216" t="str">
        <f t="shared" si="2"/>
        <v/>
      </c>
    </row>
    <row r="44" spans="1:12" s="34" customFormat="1" ht="18" hidden="1" customHeight="1">
      <c r="A44" s="34">
        <f t="shared" si="3"/>
        <v>39</v>
      </c>
      <c r="B44" s="34" t="str">
        <f t="shared" si="1"/>
        <v>DARAT</v>
      </c>
      <c r="D44" s="246" t="str">
        <f t="array" ref="D44">IFERROR(VLOOKUP($H$2,IF(DATAKBA[NO]=LAMPIRAN!A44,DATAKBA[[TANGGAL]:[TARRA]],0),2,FALSE),"")</f>
        <v/>
      </c>
      <c r="E44" s="247" t="str">
        <f t="array" ref="E44">IFERROR(VLOOKUP($H$2,IF(DATAKBA[NO]=LAMPIRAN!A44,DATAKBA[[TANGGAL]:[TARRA]],0),3,FALSE),"")</f>
        <v/>
      </c>
      <c r="F44" s="248" t="str">
        <f t="array" ref="F44">IFERROR(VLOOKUP($H$2,IF(DATAKBA[NO]=LAMPIRAN!A44,DATAKBA[[TANGGAL]:[TARRA]],0),4,FALSE),"")</f>
        <v/>
      </c>
      <c r="G44" s="249" t="str">
        <f t="array" ref="G44">IFERROR(VLOOKUP($H$2,IF(DATAKBA[NO]=LAMPIRAN!A44,DATAKBA[[TANGGAL]:[TARRA]],0),5,FALSE),"")</f>
        <v/>
      </c>
      <c r="H44" s="251" t="str">
        <f t="array" ref="H44">IFERROR(VLOOKUP($H$2,IF(DATAKBA[NO]=LAMPIRAN!A44,DATAKBA[[TANGGAL]:[TARRA]],0),6,FALSE),"")</f>
        <v/>
      </c>
      <c r="I44" s="251" t="str">
        <f t="array" ref="I44">IFERROR(VLOOKUP($H$2,IF(DATAKBA[NO]=LAMPIRAN!A44,DATAKBA[[TANGGAL]:[TARRA]],0),7,FALSE),"")</f>
        <v/>
      </c>
      <c r="J44" s="251">
        <f t="shared" si="4"/>
        <v>0</v>
      </c>
      <c r="L44" s="216" t="str">
        <f t="shared" si="2"/>
        <v/>
      </c>
    </row>
    <row r="45" spans="1:12" s="34" customFormat="1" ht="18" hidden="1" customHeight="1">
      <c r="A45" s="34">
        <f t="shared" si="3"/>
        <v>40</v>
      </c>
      <c r="B45" s="34" t="str">
        <f t="shared" si="1"/>
        <v>DARAT</v>
      </c>
      <c r="D45" s="246" t="str">
        <f t="array" ref="D45">IFERROR(VLOOKUP($H$2,IF(DATAKBA[NO]=LAMPIRAN!A45,DATAKBA[[TANGGAL]:[TARRA]],0),2,FALSE),"")</f>
        <v/>
      </c>
      <c r="E45" s="247" t="str">
        <f t="array" ref="E45">IFERROR(VLOOKUP($H$2,IF(DATAKBA[NO]=LAMPIRAN!A45,DATAKBA[[TANGGAL]:[TARRA]],0),3,FALSE),"")</f>
        <v/>
      </c>
      <c r="F45" s="248" t="str">
        <f t="array" ref="F45">IFERROR(VLOOKUP($H$2,IF(DATAKBA[NO]=LAMPIRAN!A45,DATAKBA[[TANGGAL]:[TARRA]],0),4,FALSE),"")</f>
        <v/>
      </c>
      <c r="G45" s="249" t="str">
        <f t="array" ref="G45">IFERROR(VLOOKUP($H$2,IF(DATAKBA[NO]=LAMPIRAN!A45,DATAKBA[[TANGGAL]:[TARRA]],0),5,FALSE),"")</f>
        <v/>
      </c>
      <c r="H45" s="251" t="str">
        <f t="array" ref="H45">IFERROR(VLOOKUP($H$2,IF(DATAKBA[NO]=LAMPIRAN!A45,DATAKBA[[TANGGAL]:[TARRA]],0),6,FALSE),"")</f>
        <v/>
      </c>
      <c r="I45" s="251" t="str">
        <f t="array" ref="I45">IFERROR(VLOOKUP($H$2,IF(DATAKBA[NO]=LAMPIRAN!A45,DATAKBA[[TANGGAL]:[TARRA]],0),7,FALSE),"")</f>
        <v/>
      </c>
      <c r="J45" s="251">
        <f t="shared" si="4"/>
        <v>0</v>
      </c>
      <c r="L45" s="216" t="str">
        <f t="shared" si="2"/>
        <v/>
      </c>
    </row>
    <row r="46" spans="1:12" s="34" customFormat="1" ht="18" hidden="1" customHeight="1">
      <c r="A46" s="34">
        <f t="shared" si="3"/>
        <v>41</v>
      </c>
      <c r="B46" s="34" t="str">
        <f t="shared" si="1"/>
        <v>DARAT</v>
      </c>
      <c r="D46" s="246" t="str">
        <f t="array" ref="D46">IFERROR(VLOOKUP($H$2,IF(DATAKBA[NO]=LAMPIRAN!A46,DATAKBA[[TANGGAL]:[TARRA]],0),2,FALSE),"")</f>
        <v/>
      </c>
      <c r="E46" s="247" t="str">
        <f t="array" ref="E46">IFERROR(VLOOKUP($H$2,IF(DATAKBA[NO]=LAMPIRAN!A46,DATAKBA[[TANGGAL]:[TARRA]],0),3,FALSE),"")</f>
        <v/>
      </c>
      <c r="F46" s="248" t="str">
        <f t="array" ref="F46">IFERROR(VLOOKUP($H$2,IF(DATAKBA[NO]=LAMPIRAN!A46,DATAKBA[[TANGGAL]:[TARRA]],0),4,FALSE),"")</f>
        <v/>
      </c>
      <c r="G46" s="249" t="str">
        <f t="array" ref="G46">IFERROR(VLOOKUP($H$2,IF(DATAKBA[NO]=LAMPIRAN!A46,DATAKBA[[TANGGAL]:[TARRA]],0),5,FALSE),"")</f>
        <v/>
      </c>
      <c r="H46" s="251" t="str">
        <f t="array" ref="H46">IFERROR(VLOOKUP($H$2,IF(DATAKBA[NO]=LAMPIRAN!A46,DATAKBA[[TANGGAL]:[TARRA]],0),6,FALSE),"")</f>
        <v/>
      </c>
      <c r="I46" s="251" t="str">
        <f t="array" ref="I46">IFERROR(VLOOKUP($H$2,IF(DATAKBA[NO]=LAMPIRAN!A46,DATAKBA[[TANGGAL]:[TARRA]],0),7,FALSE),"")</f>
        <v/>
      </c>
      <c r="J46" s="251">
        <f t="shared" si="4"/>
        <v>0</v>
      </c>
      <c r="L46" s="216" t="str">
        <f t="shared" si="2"/>
        <v/>
      </c>
    </row>
    <row r="47" spans="1:12" s="34" customFormat="1" ht="18" hidden="1" customHeight="1">
      <c r="A47" s="34">
        <f t="shared" si="3"/>
        <v>42</v>
      </c>
      <c r="B47" s="34" t="str">
        <f t="shared" si="1"/>
        <v>DARAT</v>
      </c>
      <c r="D47" s="246" t="str">
        <f t="array" ref="D47">IFERROR(VLOOKUP($H$2,IF(DATAKBA[NO]=LAMPIRAN!A47,DATAKBA[[TANGGAL]:[TARRA]],0),2,FALSE),"")</f>
        <v/>
      </c>
      <c r="E47" s="247" t="str">
        <f t="array" ref="E47">IFERROR(VLOOKUP($H$2,IF(DATAKBA[NO]=LAMPIRAN!A47,DATAKBA[[TANGGAL]:[TARRA]],0),3,FALSE),"")</f>
        <v/>
      </c>
      <c r="F47" s="248" t="str">
        <f t="array" ref="F47">IFERROR(VLOOKUP($H$2,IF(DATAKBA[NO]=LAMPIRAN!A47,DATAKBA[[TANGGAL]:[TARRA]],0),4,FALSE),"")</f>
        <v/>
      </c>
      <c r="G47" s="249" t="str">
        <f t="array" ref="G47">IFERROR(VLOOKUP($H$2,IF(DATAKBA[NO]=LAMPIRAN!A47,DATAKBA[[TANGGAL]:[TARRA]],0),5,FALSE),"")</f>
        <v/>
      </c>
      <c r="H47" s="251" t="str">
        <f t="array" ref="H47">IFERROR(VLOOKUP($H$2,IF(DATAKBA[NO]=LAMPIRAN!A47,DATAKBA[[TANGGAL]:[TARRA]],0),6,FALSE),"")</f>
        <v/>
      </c>
      <c r="I47" s="251" t="str">
        <f t="array" ref="I47">IFERROR(VLOOKUP($H$2,IF(DATAKBA[NO]=LAMPIRAN!A47,DATAKBA[[TANGGAL]:[TARRA]],0),7,FALSE),"")</f>
        <v/>
      </c>
      <c r="J47" s="251">
        <f t="shared" si="4"/>
        <v>0</v>
      </c>
      <c r="L47" s="216" t="str">
        <f t="shared" si="2"/>
        <v/>
      </c>
    </row>
    <row r="48" spans="1:12" s="34" customFormat="1" ht="18" hidden="1" customHeight="1">
      <c r="A48" s="34">
        <f t="shared" si="3"/>
        <v>43</v>
      </c>
      <c r="B48" s="34" t="str">
        <f t="shared" si="1"/>
        <v>DARAT</v>
      </c>
      <c r="D48" s="246" t="str">
        <f t="array" ref="D48">IFERROR(VLOOKUP($H$2,IF(DATAKBA[NO]=LAMPIRAN!A48,DATAKBA[[TANGGAL]:[TARRA]],0),2,FALSE),"")</f>
        <v/>
      </c>
      <c r="E48" s="247" t="str">
        <f t="array" ref="E48">IFERROR(VLOOKUP($H$2,IF(DATAKBA[NO]=LAMPIRAN!A48,DATAKBA[[TANGGAL]:[TARRA]],0),3,FALSE),"")</f>
        <v/>
      </c>
      <c r="F48" s="248" t="str">
        <f t="array" ref="F48">IFERROR(VLOOKUP($H$2,IF(DATAKBA[NO]=LAMPIRAN!A48,DATAKBA[[TANGGAL]:[TARRA]],0),4,FALSE),"")</f>
        <v/>
      </c>
      <c r="G48" s="249" t="str">
        <f t="array" ref="G48">IFERROR(VLOOKUP($H$2,IF(DATAKBA[NO]=LAMPIRAN!A48,DATAKBA[[TANGGAL]:[TARRA]],0),5,FALSE),"")</f>
        <v/>
      </c>
      <c r="H48" s="251" t="str">
        <f t="array" ref="H48">IFERROR(VLOOKUP($H$2,IF(DATAKBA[NO]=LAMPIRAN!A48,DATAKBA[[TANGGAL]:[TARRA]],0),6,FALSE),"")</f>
        <v/>
      </c>
      <c r="I48" s="251" t="str">
        <f t="array" ref="I48">IFERROR(VLOOKUP($H$2,IF(DATAKBA[NO]=LAMPIRAN!A48,DATAKBA[[TANGGAL]:[TARRA]],0),7,FALSE),"")</f>
        <v/>
      </c>
      <c r="J48" s="251">
        <f t="shared" si="4"/>
        <v>0</v>
      </c>
      <c r="L48" s="216" t="str">
        <f t="shared" si="2"/>
        <v/>
      </c>
    </row>
    <row r="49" spans="1:17" s="34" customFormat="1" ht="18" hidden="1" customHeight="1">
      <c r="A49" s="34">
        <f t="shared" si="3"/>
        <v>44</v>
      </c>
      <c r="B49" s="34" t="str">
        <f t="shared" si="1"/>
        <v>DARAT</v>
      </c>
      <c r="D49" s="246" t="str">
        <f t="array" ref="D49">IFERROR(VLOOKUP($H$2,IF(DATAKBA[NO]=LAMPIRAN!A49,DATAKBA[[TANGGAL]:[TARRA]],0),2,FALSE),"")</f>
        <v/>
      </c>
      <c r="E49" s="247" t="str">
        <f t="array" ref="E49">IFERROR(VLOOKUP($H$2,IF(DATAKBA[NO]=LAMPIRAN!A49,DATAKBA[[TANGGAL]:[TARRA]],0),3,FALSE),"")</f>
        <v/>
      </c>
      <c r="F49" s="248" t="str">
        <f t="array" ref="F49">IFERROR(VLOOKUP($H$2,IF(DATAKBA[NO]=LAMPIRAN!A49,DATAKBA[[TANGGAL]:[TARRA]],0),4,FALSE),"")</f>
        <v/>
      </c>
      <c r="G49" s="249" t="str">
        <f t="array" ref="G49">IFERROR(VLOOKUP($H$2,IF(DATAKBA[NO]=LAMPIRAN!A49,DATAKBA[[TANGGAL]:[TARRA]],0),5,FALSE),"")</f>
        <v/>
      </c>
      <c r="H49" s="251" t="str">
        <f t="array" ref="H49">IFERROR(VLOOKUP($H$2,IF(DATAKBA[NO]=LAMPIRAN!A49,DATAKBA[[TANGGAL]:[TARRA]],0),6,FALSE),"")</f>
        <v/>
      </c>
      <c r="I49" s="251" t="str">
        <f t="array" ref="I49">IFERROR(VLOOKUP($H$2,IF(DATAKBA[NO]=LAMPIRAN!A49,DATAKBA[[TANGGAL]:[TARRA]],0),7,FALSE),"")</f>
        <v/>
      </c>
      <c r="J49" s="251">
        <f t="shared" si="4"/>
        <v>0</v>
      </c>
      <c r="L49" s="216" t="str">
        <f t="shared" si="2"/>
        <v/>
      </c>
    </row>
    <row r="50" spans="1:17" s="34" customFormat="1" ht="18" hidden="1" customHeight="1">
      <c r="A50" s="34">
        <f t="shared" si="3"/>
        <v>45</v>
      </c>
      <c r="B50" s="34" t="str">
        <f t="shared" si="1"/>
        <v>DARAT</v>
      </c>
      <c r="D50" s="246" t="str">
        <f t="array" ref="D50">IFERROR(VLOOKUP($H$2,IF(DATAKBA[NO]=LAMPIRAN!A50,DATAKBA[[TANGGAL]:[TARRA]],0),2,FALSE),"")</f>
        <v/>
      </c>
      <c r="E50" s="247" t="str">
        <f t="array" ref="E50">IFERROR(VLOOKUP($H$2,IF(DATAKBA[NO]=LAMPIRAN!A50,DATAKBA[[TANGGAL]:[TARRA]],0),3,FALSE),"")</f>
        <v/>
      </c>
      <c r="F50" s="248" t="str">
        <f t="array" ref="F50">IFERROR(VLOOKUP($H$2,IF(DATAKBA[NO]=LAMPIRAN!A50,DATAKBA[[TANGGAL]:[TARRA]],0),4,FALSE),"")</f>
        <v/>
      </c>
      <c r="G50" s="249" t="str">
        <f t="array" ref="G50">IFERROR(VLOOKUP($H$2,IF(DATAKBA[NO]=LAMPIRAN!A50,DATAKBA[[TANGGAL]:[TARRA]],0),5,FALSE),"")</f>
        <v/>
      </c>
      <c r="H50" s="251" t="str">
        <f t="array" ref="H50">IFERROR(VLOOKUP($H$2,IF(DATAKBA[NO]=LAMPIRAN!A50,DATAKBA[[TANGGAL]:[TARRA]],0),6,FALSE),"")</f>
        <v/>
      </c>
      <c r="I50" s="251" t="str">
        <f t="array" ref="I50">IFERROR(VLOOKUP($H$2,IF(DATAKBA[NO]=LAMPIRAN!A50,DATAKBA[[TANGGAL]:[TARRA]],0),7,FALSE),"")</f>
        <v/>
      </c>
      <c r="J50" s="251">
        <f t="shared" si="4"/>
        <v>0</v>
      </c>
      <c r="L50" s="216" t="str">
        <f t="shared" si="2"/>
        <v/>
      </c>
    </row>
    <row r="51" spans="1:17" s="34" customFormat="1" ht="18" hidden="1" customHeight="1">
      <c r="A51" s="34">
        <f t="shared" si="3"/>
        <v>46</v>
      </c>
      <c r="B51" s="34" t="str">
        <f t="shared" si="1"/>
        <v>DARAT</v>
      </c>
      <c r="D51" s="246" t="str">
        <f t="array" ref="D51">IFERROR(VLOOKUP($H$2,IF(DATAKBA[NO]=LAMPIRAN!A51,DATAKBA[[TANGGAL]:[TARRA]],0),2,FALSE),"")</f>
        <v/>
      </c>
      <c r="E51" s="247" t="str">
        <f t="array" ref="E51">IFERROR(VLOOKUP($H$2,IF(DATAKBA[NO]=LAMPIRAN!A51,DATAKBA[[TANGGAL]:[TARRA]],0),3,FALSE),"")</f>
        <v/>
      </c>
      <c r="F51" s="248" t="str">
        <f t="array" ref="F51">IFERROR(VLOOKUP($H$2,IF(DATAKBA[NO]=LAMPIRAN!A51,DATAKBA[[TANGGAL]:[TARRA]],0),4,FALSE),"")</f>
        <v/>
      </c>
      <c r="G51" s="249" t="str">
        <f t="array" ref="G51">IFERROR(VLOOKUP($H$2,IF(DATAKBA[NO]=LAMPIRAN!A51,DATAKBA[[TANGGAL]:[TARRA]],0),5,FALSE),"")</f>
        <v/>
      </c>
      <c r="H51" s="251" t="str">
        <f t="array" ref="H51">IFERROR(VLOOKUP($H$2,IF(DATAKBA[NO]=LAMPIRAN!A51,DATAKBA[[TANGGAL]:[TARRA]],0),6,FALSE),"")</f>
        <v/>
      </c>
      <c r="I51" s="251" t="str">
        <f t="array" ref="I51">IFERROR(VLOOKUP($H$2,IF(DATAKBA[NO]=LAMPIRAN!A51,DATAKBA[[TANGGAL]:[TARRA]],0),7,FALSE),"")</f>
        <v/>
      </c>
      <c r="J51" s="251">
        <f t="shared" si="4"/>
        <v>0</v>
      </c>
      <c r="L51" s="216" t="str">
        <f t="shared" si="2"/>
        <v/>
      </c>
    </row>
    <row r="52" spans="1:17" s="34" customFormat="1" ht="18" hidden="1" customHeight="1">
      <c r="A52" s="34">
        <f t="shared" si="3"/>
        <v>47</v>
      </c>
      <c r="B52" s="34" t="str">
        <f t="shared" si="1"/>
        <v>DARAT</v>
      </c>
      <c r="D52" s="246" t="str">
        <f t="array" ref="D52">IFERROR(VLOOKUP($H$2,IF(DATAKBA[NO]=LAMPIRAN!A52,DATAKBA[[TANGGAL]:[TARRA]],0),2,FALSE),"")</f>
        <v/>
      </c>
      <c r="E52" s="247" t="str">
        <f t="array" ref="E52">IFERROR(VLOOKUP($H$2,IF(DATAKBA[NO]=LAMPIRAN!A52,DATAKBA[[TANGGAL]:[TARRA]],0),3,FALSE),"")</f>
        <v/>
      </c>
      <c r="F52" s="248" t="str">
        <f t="array" ref="F52">IFERROR(VLOOKUP($H$2,IF(DATAKBA[NO]=LAMPIRAN!A52,DATAKBA[[TANGGAL]:[TARRA]],0),4,FALSE),"")</f>
        <v/>
      </c>
      <c r="G52" s="249" t="str">
        <f t="array" ref="G52">IFERROR(VLOOKUP($H$2,IF(DATAKBA[NO]=LAMPIRAN!A52,DATAKBA[[TANGGAL]:[TARRA]],0),5,FALSE),"")</f>
        <v/>
      </c>
      <c r="H52" s="251" t="str">
        <f t="array" ref="H52">IFERROR(VLOOKUP($H$2,IF(DATAKBA[NO]=LAMPIRAN!A52,DATAKBA[[TANGGAL]:[TARRA]],0),6,FALSE),"")</f>
        <v/>
      </c>
      <c r="I52" s="251" t="str">
        <f t="array" ref="I52">IFERROR(VLOOKUP($H$2,IF(DATAKBA[NO]=LAMPIRAN!A52,DATAKBA[[TANGGAL]:[TARRA]],0),7,FALSE),"")</f>
        <v/>
      </c>
      <c r="J52" s="251">
        <f t="shared" si="4"/>
        <v>0</v>
      </c>
      <c r="L52" s="216" t="str">
        <f t="shared" si="2"/>
        <v/>
      </c>
    </row>
    <row r="53" spans="1:17" s="34" customFormat="1" ht="18" hidden="1" customHeight="1">
      <c r="A53" s="34">
        <f t="shared" si="3"/>
        <v>48</v>
      </c>
      <c r="B53" s="34" t="str">
        <f t="shared" si="1"/>
        <v>DARAT</v>
      </c>
      <c r="D53" s="246" t="str">
        <f t="array" ref="D53">IFERROR(VLOOKUP($H$2,IF(DATAKBA[NO]=LAMPIRAN!A53,DATAKBA[[TANGGAL]:[TARRA]],0),2,FALSE),"")</f>
        <v/>
      </c>
      <c r="E53" s="247" t="str">
        <f t="array" ref="E53">IFERROR(VLOOKUP($H$2,IF(DATAKBA[NO]=LAMPIRAN!A53,DATAKBA[[TANGGAL]:[TARRA]],0),3,FALSE),"")</f>
        <v/>
      </c>
      <c r="F53" s="248" t="str">
        <f t="array" ref="F53">IFERROR(VLOOKUP($H$2,IF(DATAKBA[NO]=LAMPIRAN!A53,DATAKBA[[TANGGAL]:[TARRA]],0),4,FALSE),"")</f>
        <v/>
      </c>
      <c r="G53" s="249" t="str">
        <f t="array" ref="G53">IFERROR(VLOOKUP($H$2,IF(DATAKBA[NO]=LAMPIRAN!A53,DATAKBA[[TANGGAL]:[TARRA]],0),5,FALSE),"")</f>
        <v/>
      </c>
      <c r="H53" s="251" t="str">
        <f t="array" ref="H53">IFERROR(VLOOKUP($H$2,IF(DATAKBA[NO]=LAMPIRAN!A53,DATAKBA[[TANGGAL]:[TARRA]],0),6,FALSE),"")</f>
        <v/>
      </c>
      <c r="I53" s="251" t="str">
        <f t="array" ref="I53">IFERROR(VLOOKUP($H$2,IF(DATAKBA[NO]=LAMPIRAN!A53,DATAKBA[[TANGGAL]:[TARRA]],0),7,FALSE),"")</f>
        <v/>
      </c>
      <c r="J53" s="251">
        <f t="shared" si="4"/>
        <v>0</v>
      </c>
      <c r="L53" s="216" t="str">
        <f t="shared" si="2"/>
        <v/>
      </c>
    </row>
    <row r="54" spans="1:17" s="34" customFormat="1" ht="18" hidden="1" customHeight="1">
      <c r="A54" s="34">
        <f t="shared" si="3"/>
        <v>49</v>
      </c>
      <c r="B54" s="34" t="str">
        <f t="shared" si="1"/>
        <v>DARAT</v>
      </c>
      <c r="D54" s="246" t="str">
        <f t="array" ref="D54">IFERROR(VLOOKUP($H$2,IF(DATAKBA[NO]=LAMPIRAN!A54,DATAKBA[[TANGGAL]:[TARRA]],0),2,FALSE),"")</f>
        <v/>
      </c>
      <c r="E54" s="247" t="str">
        <f t="array" ref="E54">IFERROR(VLOOKUP($H$2,IF(DATAKBA[NO]=LAMPIRAN!A54,DATAKBA[[TANGGAL]:[TARRA]],0),3,FALSE),"")</f>
        <v/>
      </c>
      <c r="F54" s="248" t="str">
        <f t="array" ref="F54">IFERROR(VLOOKUP($H$2,IF(DATAKBA[NO]=LAMPIRAN!A54,DATAKBA[[TANGGAL]:[TARRA]],0),4,FALSE),"")</f>
        <v/>
      </c>
      <c r="G54" s="249" t="str">
        <f t="array" ref="G54">IFERROR(VLOOKUP($H$2,IF(DATAKBA[NO]=LAMPIRAN!A54,DATAKBA[[TANGGAL]:[TARRA]],0),5,FALSE),"")</f>
        <v/>
      </c>
      <c r="H54" s="251" t="str">
        <f t="array" ref="H54">IFERROR(VLOOKUP($H$2,IF(DATAKBA[NO]=LAMPIRAN!A54,DATAKBA[[TANGGAL]:[TARRA]],0),6,FALSE),"")</f>
        <v/>
      </c>
      <c r="I54" s="251" t="str">
        <f t="array" ref="I54">IFERROR(VLOOKUP($H$2,IF(DATAKBA[NO]=LAMPIRAN!A54,DATAKBA[[TANGGAL]:[TARRA]],0),7,FALSE),"")</f>
        <v/>
      </c>
      <c r="J54" s="251">
        <f t="shared" si="4"/>
        <v>0</v>
      </c>
      <c r="L54" s="216" t="str">
        <f t="shared" si="2"/>
        <v/>
      </c>
    </row>
    <row r="55" spans="1:17" s="34" customFormat="1" ht="18" hidden="1" customHeight="1">
      <c r="A55" s="34">
        <f t="shared" si="3"/>
        <v>50</v>
      </c>
      <c r="B55" s="34" t="str">
        <f t="shared" si="1"/>
        <v>DARAT</v>
      </c>
      <c r="D55" s="246" t="str">
        <f t="array" ref="D55">IFERROR(VLOOKUP($H$2,IF(DATAKBA[NO]=LAMPIRAN!A55,DATAKBA[[TANGGAL]:[TARRA]],0),2,FALSE),"")</f>
        <v/>
      </c>
      <c r="E55" s="247" t="str">
        <f t="array" ref="E55">IFERROR(VLOOKUP($H$2,IF(DATAKBA[NO]=LAMPIRAN!A55,DATAKBA[[TANGGAL]:[TARRA]],0),3,FALSE),"")</f>
        <v/>
      </c>
      <c r="F55" s="248" t="str">
        <f t="array" ref="F55">IFERROR(VLOOKUP($H$2,IF(DATAKBA[NO]=LAMPIRAN!A55,DATAKBA[[TANGGAL]:[TARRA]],0),4,FALSE),"")</f>
        <v/>
      </c>
      <c r="G55" s="249" t="str">
        <f t="array" ref="G55">IFERROR(VLOOKUP($H$2,IF(DATAKBA[NO]=LAMPIRAN!A55,DATAKBA[[TANGGAL]:[TARRA]],0),5,FALSE),"")</f>
        <v/>
      </c>
      <c r="H55" s="251" t="str">
        <f t="array" ref="H55">IFERROR(VLOOKUP($H$2,IF(DATAKBA[NO]=LAMPIRAN!A55,DATAKBA[[TANGGAL]:[TARRA]],0),6,FALSE),"")</f>
        <v/>
      </c>
      <c r="I55" s="251" t="str">
        <f t="array" ref="I55">IFERROR(VLOOKUP($H$2,IF(DATAKBA[NO]=LAMPIRAN!A55,DATAKBA[[TANGGAL]:[TARRA]],0),7,FALSE),"")</f>
        <v/>
      </c>
      <c r="J55" s="251">
        <f t="shared" si="4"/>
        <v>0</v>
      </c>
      <c r="L55" s="216" t="str">
        <f t="shared" si="2"/>
        <v/>
      </c>
    </row>
    <row r="56" spans="1:17" s="34" customFormat="1" ht="5.0999999999999996" customHeight="1" thickBot="1">
      <c r="D56" s="155"/>
      <c r="E56" s="156"/>
      <c r="F56" s="157"/>
      <c r="G56" s="158"/>
      <c r="H56" s="159"/>
      <c r="I56" s="160"/>
      <c r="J56" s="160"/>
      <c r="L56" s="216" t="s">
        <v>199</v>
      </c>
    </row>
    <row r="57" spans="1:17" s="34" customFormat="1" ht="21.95" customHeight="1" thickTop="1">
      <c r="D57" s="161"/>
      <c r="E57" s="22"/>
      <c r="F57" s="304" t="s">
        <v>66</v>
      </c>
      <c r="G57" s="304">
        <f>SUM(G6:G56)</f>
        <v>0</v>
      </c>
      <c r="H57" s="305">
        <f>SUM(H6:H56)</f>
        <v>0</v>
      </c>
      <c r="I57" s="305">
        <f>SUM(I6:I56)</f>
        <v>0</v>
      </c>
      <c r="J57" s="305">
        <f>SUM(J6:J56)</f>
        <v>0</v>
      </c>
      <c r="L57" s="216" t="s">
        <v>199</v>
      </c>
    </row>
    <row r="58" spans="1:17" s="34" customFormat="1" ht="21.95" customHeight="1">
      <c r="D58" s="35"/>
      <c r="E58" s="22"/>
      <c r="F58" s="307" t="s">
        <v>67</v>
      </c>
      <c r="G58" s="307">
        <f>SUMIFS(DATAKBA[TN],DATAKBA[TANGGAL],"&lt;="&amp;DATE(YEAR($H$2),MONTH($H$2),DAY($H$2)),DATAKBA[TANGGAL],"&gt;="&amp;DATE(YEAR($H$2),MONTH($H$2),1))</f>
        <v>394</v>
      </c>
      <c r="H58" s="236">
        <f>SUMIFS(DATAKBA[BRUTO],DATAKBA[TANGGAL],"&lt;="&amp;DATE(YEAR($H$2),MONTH($H$2),DAY($H$2)),DATAKBA[TANGGAL],"&gt;="&amp;DATE(YEAR($H$2),MONTH($H$2),1))</f>
        <v>3380370</v>
      </c>
      <c r="I58" s="236">
        <f>SUMIFS(DATAKBA[TARRA],DATAKBA[TANGGAL],"&lt;="&amp;DATE(YEAR($H$2),MONTH($H$2),DAY($H$2)),DATAKBA[TANGGAL],"&gt;="&amp;DATE(YEAR($H$2),MONTH($H$2),1))</f>
        <v>1500120</v>
      </c>
      <c r="J58" s="236">
        <f ca="1">SUMIFS(DATAKBA[NETTO],DATAKBA[TANGGAL],"&lt;="&amp;DATE(YEAR($H$2),MONTH($H$2),DAY($H$2)),DATAKBA[TANGGAL],"&gt;="&amp;DATE(YEAR($H$2),MONTH($H$2),1))</f>
        <v>1880250</v>
      </c>
      <c r="L58" s="216" t="s">
        <v>199</v>
      </c>
    </row>
    <row r="59" spans="1:17" s="34" customFormat="1" ht="15" customHeight="1">
      <c r="D59" s="35"/>
      <c r="E59" s="36"/>
      <c r="F59" s="37"/>
      <c r="G59" s="37"/>
      <c r="H59" s="38"/>
      <c r="I59" s="38"/>
      <c r="J59" s="38"/>
      <c r="L59" s="216" t="s">
        <v>199</v>
      </c>
      <c r="Q59" s="34">
        <v>55</v>
      </c>
    </row>
    <row r="60" spans="1:17" s="34" customFormat="1" ht="18" customHeight="1">
      <c r="D60" s="622" t="s">
        <v>68</v>
      </c>
      <c r="E60" s="623"/>
      <c r="F60" s="623"/>
      <c r="G60" s="624"/>
      <c r="H60" s="25" t="s">
        <v>55</v>
      </c>
      <c r="I60" s="25" t="s">
        <v>56</v>
      </c>
      <c r="J60" s="25" t="s">
        <v>57</v>
      </c>
      <c r="L60" s="216" t="s">
        <v>199</v>
      </c>
    </row>
    <row r="61" spans="1:17" s="34" customFormat="1" ht="18" customHeight="1">
      <c r="D61" s="26" t="s">
        <v>58</v>
      </c>
      <c r="E61" s="27" t="s">
        <v>59</v>
      </c>
      <c r="F61" s="28" t="s">
        <v>60</v>
      </c>
      <c r="G61" s="27" t="s">
        <v>61</v>
      </c>
      <c r="H61" s="29" t="s">
        <v>62</v>
      </c>
      <c r="I61" s="29" t="s">
        <v>63</v>
      </c>
      <c r="J61" s="29" t="s">
        <v>64</v>
      </c>
      <c r="L61" s="216" t="s">
        <v>199</v>
      </c>
    </row>
    <row r="62" spans="1:17" s="34" customFormat="1" ht="18" customHeight="1" thickBot="1">
      <c r="D62" s="30">
        <v>1</v>
      </c>
      <c r="E62" s="31">
        <v>2</v>
      </c>
      <c r="F62" s="30">
        <v>3</v>
      </c>
      <c r="G62" s="32">
        <v>4</v>
      </c>
      <c r="H62" s="33">
        <v>5</v>
      </c>
      <c r="I62" s="33">
        <v>6</v>
      </c>
      <c r="J62" s="33" t="s">
        <v>65</v>
      </c>
      <c r="L62" s="216" t="s">
        <v>199</v>
      </c>
    </row>
    <row r="63" spans="1:17" s="34" customFormat="1" ht="18" customHeight="1" thickTop="1">
      <c r="A63" s="34">
        <v>1</v>
      </c>
      <c r="B63" s="34" t="str">
        <f t="shared" ref="B63:B82" si="5">IFERROR(IF(FIND("/KM",E63)&gt;0,"SUNGAI"),"DARAT")</f>
        <v>DARAT</v>
      </c>
      <c r="D63" s="252" t="str">
        <f t="array" ref="D63">IFERROR(VLOOKUP($H$2,IF(DATAKBB[NO]=LAMPIRAN!A63,DATAKBB[[TANGGAL]:[TARRA]],0),2,FALSE),"")</f>
        <v/>
      </c>
      <c r="E63" s="247" t="str">
        <f t="array" ref="E63">IFERROR(VLOOKUP($H$2,IF(DATAKBB[NO]=LAMPIRAN!A63,DATAKBB[[TANGGAL]:[TARRA]],0),3,FALSE),"NIHIL")</f>
        <v>NIHIL</v>
      </c>
      <c r="F63" s="253" t="str">
        <f t="array" ref="F63">IFERROR(VLOOKUP($H$2,IF(DATAKBB[NO]=LAMPIRAN!A63,DATAKBB[[TANGGAL]:[TARRA]],0),4,FALSE),"")</f>
        <v/>
      </c>
      <c r="G63" s="254" t="str">
        <f t="array" ref="G63">IFERROR(VLOOKUP($H$2,IF(DATAKBB[NO]=LAMPIRAN!A63,DATAKBB[[TANGGAL]:[TARRA]],0),5,FALSE),"")</f>
        <v/>
      </c>
      <c r="H63" s="250" t="str">
        <f t="array" ref="H63">IFERROR(VLOOKUP($H$2,IF(DATAKBB[NO]=LAMPIRAN!A63,DATAKBB[[TANGGAL]:[TARRA]],0),6,FALSE),"")</f>
        <v/>
      </c>
      <c r="I63" s="250" t="str">
        <f t="array" ref="I63">IFERROR(VLOOKUP($H$2,IF(DATAKBB[NO]=LAMPIRAN!A63,DATAKBB[[TANGGAL]:[TARRA]],0),7,FALSE),"")</f>
        <v/>
      </c>
      <c r="J63" s="250">
        <f t="shared" ref="J63:J77" si="6">IFERROR(H63-I63,0)</f>
        <v>0</v>
      </c>
      <c r="L63" s="216" t="s">
        <v>199</v>
      </c>
    </row>
    <row r="64" spans="1:17" s="34" customFormat="1" ht="18" hidden="1" customHeight="1">
      <c r="A64" s="34">
        <f t="shared" si="3"/>
        <v>2</v>
      </c>
      <c r="B64" s="34" t="str">
        <f t="shared" si="5"/>
        <v>DARAT</v>
      </c>
      <c r="D64" s="252" t="str">
        <f t="array" ref="D64">IFERROR(VLOOKUP($H$2,IF(DATAKBB[NO]=LAMPIRAN!A64,DATAKBB[[TANGGAL]:[TARRA]],0),2,FALSE),"")</f>
        <v/>
      </c>
      <c r="E64" s="247" t="str">
        <f t="array" ref="E64">IFERROR(VLOOKUP($H$2,IF(DATAKBB[NO]=LAMPIRAN!A64,DATAKBB[[TANGGAL]:[TARRA]],0),3,FALSE),"")</f>
        <v/>
      </c>
      <c r="F64" s="255" t="str">
        <f t="array" ref="F64">IFERROR(VLOOKUP($H$2,IF(DATAKBB[NO]=LAMPIRAN!A64,DATAKBB[[TANGGAL]:[TARRA]],0),4,FALSE),"")</f>
        <v/>
      </c>
      <c r="G64" s="256" t="str">
        <f t="array" ref="G64">IFERROR(VLOOKUP($H$2,IF(DATAKBB[NO]=LAMPIRAN!A64,DATAKBB[[TANGGAL]:[TARRA]],0),5,FALSE),"")</f>
        <v/>
      </c>
      <c r="H64" s="257" t="str">
        <f t="array" ref="H64">IFERROR(VLOOKUP($H$2,IF(DATAKBB[NO]=LAMPIRAN!A64,DATAKBB[[TANGGAL]:[TARRA]],0),6,FALSE),"")</f>
        <v/>
      </c>
      <c r="I64" s="257" t="str">
        <f t="array" ref="I64">IFERROR(VLOOKUP($H$2,IF(DATAKBB[NO]=LAMPIRAN!A64,DATAKBB[[TANGGAL]:[TARRA]],0),7,FALSE),"")</f>
        <v/>
      </c>
      <c r="J64" s="257">
        <f t="shared" si="6"/>
        <v>0</v>
      </c>
      <c r="L64" s="216" t="str">
        <f t="shared" ref="L64:L82" si="7">IF(J64=0,"","Ok")</f>
        <v/>
      </c>
    </row>
    <row r="65" spans="1:12" s="34" customFormat="1" ht="18" hidden="1" customHeight="1">
      <c r="A65" s="34">
        <f t="shared" si="3"/>
        <v>3</v>
      </c>
      <c r="B65" s="34" t="str">
        <f t="shared" si="5"/>
        <v>DARAT</v>
      </c>
      <c r="D65" s="252" t="str">
        <f t="array" ref="D65">IFERROR(VLOOKUP($H$2,IF(DATAKBB[NO]=LAMPIRAN!A65,DATAKBB[[TANGGAL]:[TARRA]],0),2,FALSE),"")</f>
        <v/>
      </c>
      <c r="E65" s="247" t="str">
        <f t="array" ref="E65">IFERROR(VLOOKUP($H$2,IF(DATAKBB[NO]=LAMPIRAN!A65,DATAKBB[[TANGGAL]:[TARRA]],0),3,FALSE),"")</f>
        <v/>
      </c>
      <c r="F65" s="255" t="str">
        <f t="array" ref="F65">IFERROR(VLOOKUP($H$2,IF(DATAKBB[NO]=LAMPIRAN!A65,DATAKBB[[TANGGAL]:[TARRA]],0),4,FALSE),"")</f>
        <v/>
      </c>
      <c r="G65" s="256" t="str">
        <f t="array" ref="G65">IFERROR(VLOOKUP($H$2,IF(DATAKBB[NO]=LAMPIRAN!A65,DATAKBB[[TANGGAL]:[TARRA]],0),5,FALSE),"")</f>
        <v/>
      </c>
      <c r="H65" s="257" t="str">
        <f t="array" ref="H65">IFERROR(VLOOKUP($H$2,IF(DATAKBB[NO]=LAMPIRAN!A65,DATAKBB[[TANGGAL]:[TARRA]],0),6,FALSE),"")</f>
        <v/>
      </c>
      <c r="I65" s="257" t="str">
        <f t="array" ref="I65">IFERROR(VLOOKUP($H$2,IF(DATAKBB[NO]=LAMPIRAN!A65,DATAKBB[[TANGGAL]:[TARRA]],0),7,FALSE),"")</f>
        <v/>
      </c>
      <c r="J65" s="257">
        <f t="shared" si="6"/>
        <v>0</v>
      </c>
      <c r="L65" s="216" t="str">
        <f t="shared" si="7"/>
        <v/>
      </c>
    </row>
    <row r="66" spans="1:12" s="34" customFormat="1" ht="18" hidden="1" customHeight="1">
      <c r="A66" s="34">
        <f t="shared" si="3"/>
        <v>4</v>
      </c>
      <c r="B66" s="34" t="str">
        <f t="shared" si="5"/>
        <v>DARAT</v>
      </c>
      <c r="D66" s="252" t="str">
        <f t="array" ref="D66">IFERROR(VLOOKUP($H$2,IF(DATAKBB[NO]=LAMPIRAN!A66,DATAKBB[[TANGGAL]:[TARRA]],0),2,FALSE),"")</f>
        <v/>
      </c>
      <c r="E66" s="247" t="str">
        <f t="array" ref="E66">IFERROR(VLOOKUP($H$2,IF(DATAKBB[NO]=LAMPIRAN!A66,DATAKBB[[TANGGAL]:[TARRA]],0),3,FALSE),"")</f>
        <v/>
      </c>
      <c r="F66" s="255" t="str">
        <f t="array" ref="F66">IFERROR(VLOOKUP($H$2,IF(DATAKBB[NO]=LAMPIRAN!A66,DATAKBB[[TANGGAL]:[TARRA]],0),4,FALSE),"")</f>
        <v/>
      </c>
      <c r="G66" s="256" t="str">
        <f t="array" ref="G66">IFERROR(VLOOKUP($H$2,IF(DATAKBB[NO]=LAMPIRAN!A66,DATAKBB[[TANGGAL]:[TARRA]],0),5,FALSE),"")</f>
        <v/>
      </c>
      <c r="H66" s="257" t="str">
        <f t="array" ref="H66">IFERROR(VLOOKUP($H$2,IF(DATAKBB[NO]=LAMPIRAN!A66,DATAKBB[[TANGGAL]:[TARRA]],0),6,FALSE),"")</f>
        <v/>
      </c>
      <c r="I66" s="257" t="str">
        <f t="array" ref="I66">IFERROR(VLOOKUP($H$2,IF(DATAKBB[NO]=LAMPIRAN!A66,DATAKBB[[TANGGAL]:[TARRA]],0),7,FALSE),"")</f>
        <v/>
      </c>
      <c r="J66" s="257">
        <f t="shared" si="6"/>
        <v>0</v>
      </c>
      <c r="L66" s="216" t="str">
        <f t="shared" si="7"/>
        <v/>
      </c>
    </row>
    <row r="67" spans="1:12" s="34" customFormat="1" ht="18" hidden="1" customHeight="1">
      <c r="A67" s="34">
        <f t="shared" si="3"/>
        <v>5</v>
      </c>
      <c r="B67" s="34" t="str">
        <f t="shared" si="5"/>
        <v>DARAT</v>
      </c>
      <c r="D67" s="252" t="str">
        <f t="array" ref="D67">IFERROR(VLOOKUP($H$2,IF(DATAKBB[NO]=LAMPIRAN!A67,DATAKBB[[TANGGAL]:[TARRA]],0),2,FALSE),"")</f>
        <v/>
      </c>
      <c r="E67" s="247" t="str">
        <f t="array" ref="E67">IFERROR(VLOOKUP($H$2,IF(DATAKBB[NO]=LAMPIRAN!A67,DATAKBB[[TANGGAL]:[TARRA]],0),3,FALSE),"")</f>
        <v/>
      </c>
      <c r="F67" s="255" t="str">
        <f t="array" ref="F67">IFERROR(VLOOKUP($H$2,IF(DATAKBB[NO]=LAMPIRAN!A67,DATAKBB[[TANGGAL]:[TARRA]],0),4,FALSE),"")</f>
        <v/>
      </c>
      <c r="G67" s="256" t="str">
        <f t="array" ref="G67">IFERROR(VLOOKUP($H$2,IF(DATAKBB[NO]=LAMPIRAN!A67,DATAKBB[[TANGGAL]:[TARRA]],0),5,FALSE),"")</f>
        <v/>
      </c>
      <c r="H67" s="257" t="str">
        <f t="array" ref="H67">IFERROR(VLOOKUP($H$2,IF(DATAKBB[NO]=LAMPIRAN!A67,DATAKBB[[TANGGAL]:[TARRA]],0),6,FALSE),"")</f>
        <v/>
      </c>
      <c r="I67" s="257" t="str">
        <f t="array" ref="I67">IFERROR(VLOOKUP($H$2,IF(DATAKBB[NO]=LAMPIRAN!A67,DATAKBB[[TANGGAL]:[TARRA]],0),7,FALSE),"")</f>
        <v/>
      </c>
      <c r="J67" s="257">
        <f t="shared" si="6"/>
        <v>0</v>
      </c>
      <c r="L67" s="216" t="str">
        <f t="shared" si="7"/>
        <v/>
      </c>
    </row>
    <row r="68" spans="1:12" s="34" customFormat="1" ht="18" hidden="1" customHeight="1">
      <c r="A68" s="34">
        <f t="shared" si="3"/>
        <v>6</v>
      </c>
      <c r="B68" s="34" t="str">
        <f t="shared" si="5"/>
        <v>DARAT</v>
      </c>
      <c r="D68" s="252" t="str">
        <f t="array" ref="D68">IFERROR(VLOOKUP($H$2,IF(DATAKBB[NO]=LAMPIRAN!A68,DATAKBB[[TANGGAL]:[TARRA]],0),2,FALSE),"")</f>
        <v/>
      </c>
      <c r="E68" s="247" t="str">
        <f t="array" ref="E68">IFERROR(VLOOKUP($H$2,IF(DATAKBB[NO]=LAMPIRAN!A68,DATAKBB[[TANGGAL]:[TARRA]],0),3,FALSE),"")</f>
        <v/>
      </c>
      <c r="F68" s="255" t="str">
        <f t="array" ref="F68">IFERROR(VLOOKUP($H$2,IF(DATAKBB[NO]=LAMPIRAN!A68,DATAKBB[[TANGGAL]:[TARRA]],0),4,FALSE),"")</f>
        <v/>
      </c>
      <c r="G68" s="256" t="str">
        <f t="array" ref="G68">IFERROR(VLOOKUP($H$2,IF(DATAKBB[NO]=LAMPIRAN!A68,DATAKBB[[TANGGAL]:[TARRA]],0),5,FALSE),"")</f>
        <v/>
      </c>
      <c r="H68" s="257" t="str">
        <f t="array" ref="H68">IFERROR(VLOOKUP($H$2,IF(DATAKBB[NO]=LAMPIRAN!A68,DATAKBB[[TANGGAL]:[TARRA]],0),6,FALSE),"")</f>
        <v/>
      </c>
      <c r="I68" s="257" t="str">
        <f t="array" ref="I68">IFERROR(VLOOKUP($H$2,IF(DATAKBB[NO]=LAMPIRAN!A68,DATAKBB[[TANGGAL]:[TARRA]],0),7,FALSE),"")</f>
        <v/>
      </c>
      <c r="J68" s="257">
        <f t="shared" si="6"/>
        <v>0</v>
      </c>
      <c r="L68" s="216" t="str">
        <f t="shared" si="7"/>
        <v/>
      </c>
    </row>
    <row r="69" spans="1:12" s="34" customFormat="1" ht="18" hidden="1" customHeight="1">
      <c r="A69" s="34">
        <f t="shared" si="3"/>
        <v>7</v>
      </c>
      <c r="B69" s="34" t="str">
        <f t="shared" si="5"/>
        <v>DARAT</v>
      </c>
      <c r="D69" s="252" t="str">
        <f t="array" ref="D69">IFERROR(VLOOKUP($H$2,IF(DATAKBB[NO]=LAMPIRAN!A69,DATAKBB[[TANGGAL]:[TARRA]],0),2,FALSE),"")</f>
        <v/>
      </c>
      <c r="E69" s="247" t="str">
        <f t="array" ref="E69">IFERROR(VLOOKUP($H$2,IF(DATAKBB[NO]=LAMPIRAN!A69,DATAKBB[[TANGGAL]:[TARRA]],0),3,FALSE),"")</f>
        <v/>
      </c>
      <c r="F69" s="255" t="str">
        <f t="array" ref="F69">IFERROR(VLOOKUP($H$2,IF(DATAKBB[NO]=LAMPIRAN!A69,DATAKBB[[TANGGAL]:[TARRA]],0),4,FALSE),"")</f>
        <v/>
      </c>
      <c r="G69" s="256" t="str">
        <f t="array" ref="G69">IFERROR(VLOOKUP($H$2,IF(DATAKBB[NO]=LAMPIRAN!A69,DATAKBB[[TANGGAL]:[TARRA]],0),5,FALSE),"")</f>
        <v/>
      </c>
      <c r="H69" s="257" t="str">
        <f t="array" ref="H69">IFERROR(VLOOKUP($H$2,IF(DATAKBB[NO]=LAMPIRAN!A69,DATAKBB[[TANGGAL]:[TARRA]],0),6,FALSE),"")</f>
        <v/>
      </c>
      <c r="I69" s="257" t="str">
        <f t="array" ref="I69">IFERROR(VLOOKUP($H$2,IF(DATAKBB[NO]=LAMPIRAN!A69,DATAKBB[[TANGGAL]:[TARRA]],0),7,FALSE),"")</f>
        <v/>
      </c>
      <c r="J69" s="257">
        <f t="shared" si="6"/>
        <v>0</v>
      </c>
      <c r="L69" s="216" t="str">
        <f t="shared" si="7"/>
        <v/>
      </c>
    </row>
    <row r="70" spans="1:12" s="34" customFormat="1" ht="18" hidden="1" customHeight="1">
      <c r="A70" s="34">
        <f t="shared" si="3"/>
        <v>8</v>
      </c>
      <c r="B70" s="34" t="str">
        <f t="shared" si="5"/>
        <v>DARAT</v>
      </c>
      <c r="D70" s="252" t="str">
        <f t="array" ref="D70">IFERROR(VLOOKUP($H$2,IF(DATAKBB[NO]=LAMPIRAN!A70,DATAKBB[[TANGGAL]:[TARRA]],0),2,FALSE),"")</f>
        <v/>
      </c>
      <c r="E70" s="247" t="str">
        <f t="array" ref="E70">IFERROR(VLOOKUP($H$2,IF(DATAKBB[NO]=LAMPIRAN!A70,DATAKBB[[TANGGAL]:[TARRA]],0),3,FALSE),"")</f>
        <v/>
      </c>
      <c r="F70" s="255" t="str">
        <f t="array" ref="F70">IFERROR(VLOOKUP($H$2,IF(DATAKBB[NO]=LAMPIRAN!A70,DATAKBB[[TANGGAL]:[TARRA]],0),4,FALSE),"")</f>
        <v/>
      </c>
      <c r="G70" s="256" t="str">
        <f t="array" ref="G70">IFERROR(VLOOKUP($H$2,IF(DATAKBB[NO]=LAMPIRAN!A70,DATAKBB[[TANGGAL]:[TARRA]],0),5,FALSE),"")</f>
        <v/>
      </c>
      <c r="H70" s="257" t="str">
        <f t="array" ref="H70">IFERROR(VLOOKUP($H$2,IF(DATAKBB[NO]=LAMPIRAN!A70,DATAKBB[[TANGGAL]:[TARRA]],0),6,FALSE),"")</f>
        <v/>
      </c>
      <c r="I70" s="257" t="str">
        <f t="array" ref="I70">IFERROR(VLOOKUP($H$2,IF(DATAKBB[NO]=LAMPIRAN!A70,DATAKBB[[TANGGAL]:[TARRA]],0),7,FALSE),"")</f>
        <v/>
      </c>
      <c r="J70" s="257">
        <f t="shared" si="6"/>
        <v>0</v>
      </c>
      <c r="L70" s="216" t="str">
        <f t="shared" si="7"/>
        <v/>
      </c>
    </row>
    <row r="71" spans="1:12" s="34" customFormat="1" ht="18" hidden="1" customHeight="1">
      <c r="A71" s="34">
        <f t="shared" si="3"/>
        <v>9</v>
      </c>
      <c r="B71" s="34" t="str">
        <f t="shared" si="5"/>
        <v>DARAT</v>
      </c>
      <c r="D71" s="252" t="str">
        <f t="array" ref="D71">IFERROR(VLOOKUP($H$2,IF(DATAKBB[NO]=LAMPIRAN!A71,DATAKBB[[TANGGAL]:[TARRA]],0),2,FALSE),"")</f>
        <v/>
      </c>
      <c r="E71" s="247" t="str">
        <f t="array" ref="E71">IFERROR(VLOOKUP($H$2,IF(DATAKBB[NO]=LAMPIRAN!A71,DATAKBB[[TANGGAL]:[TARRA]],0),3,FALSE),"")</f>
        <v/>
      </c>
      <c r="F71" s="255" t="str">
        <f t="array" ref="F71">IFERROR(VLOOKUP($H$2,IF(DATAKBB[NO]=LAMPIRAN!A71,DATAKBB[[TANGGAL]:[TARRA]],0),4,FALSE),"")</f>
        <v/>
      </c>
      <c r="G71" s="256" t="str">
        <f t="array" ref="G71">IFERROR(VLOOKUP($H$2,IF(DATAKBB[NO]=LAMPIRAN!A71,DATAKBB[[TANGGAL]:[TARRA]],0),5,FALSE),"")</f>
        <v/>
      </c>
      <c r="H71" s="257" t="str">
        <f t="array" ref="H71">IFERROR(VLOOKUP($H$2,IF(DATAKBB[NO]=LAMPIRAN!A71,DATAKBB[[TANGGAL]:[TARRA]],0),6,FALSE),"")</f>
        <v/>
      </c>
      <c r="I71" s="257" t="str">
        <f t="array" ref="I71">IFERROR(VLOOKUP($H$2,IF(DATAKBB[NO]=LAMPIRAN!A71,DATAKBB[[TANGGAL]:[TARRA]],0),7,FALSE),"")</f>
        <v/>
      </c>
      <c r="J71" s="257">
        <f t="shared" si="6"/>
        <v>0</v>
      </c>
      <c r="L71" s="216" t="str">
        <f t="shared" si="7"/>
        <v/>
      </c>
    </row>
    <row r="72" spans="1:12" s="34" customFormat="1" ht="18" hidden="1" customHeight="1">
      <c r="A72" s="34">
        <f t="shared" si="3"/>
        <v>10</v>
      </c>
      <c r="B72" s="34" t="str">
        <f t="shared" si="5"/>
        <v>DARAT</v>
      </c>
      <c r="D72" s="252" t="str">
        <f t="array" ref="D72">IFERROR(VLOOKUP($H$2,IF(DATAKBB[NO]=LAMPIRAN!A72,DATAKBB[[TANGGAL]:[TARRA]],0),2,FALSE),"")</f>
        <v/>
      </c>
      <c r="E72" s="247" t="str">
        <f t="array" ref="E72">IFERROR(VLOOKUP($H$2,IF(DATAKBB[NO]=LAMPIRAN!A72,DATAKBB[[TANGGAL]:[TARRA]],0),3,FALSE),"")</f>
        <v/>
      </c>
      <c r="F72" s="255" t="str">
        <f t="array" ref="F72">IFERROR(VLOOKUP($H$2,IF(DATAKBB[NO]=LAMPIRAN!A72,DATAKBB[[TANGGAL]:[TARRA]],0),4,FALSE),"")</f>
        <v/>
      </c>
      <c r="G72" s="256" t="str">
        <f t="array" ref="G72">IFERROR(VLOOKUP($H$2,IF(DATAKBB[NO]=LAMPIRAN!A72,DATAKBB[[TANGGAL]:[TARRA]],0),5,FALSE),"")</f>
        <v/>
      </c>
      <c r="H72" s="257" t="str">
        <f t="array" ref="H72">IFERROR(VLOOKUP($H$2,IF(DATAKBB[NO]=LAMPIRAN!A72,DATAKBB[[TANGGAL]:[TARRA]],0),6,FALSE),"")</f>
        <v/>
      </c>
      <c r="I72" s="257" t="str">
        <f t="array" ref="I72">IFERROR(VLOOKUP($H$2,IF(DATAKBB[NO]=LAMPIRAN!A72,DATAKBB[[TANGGAL]:[TARRA]],0),7,FALSE),"")</f>
        <v/>
      </c>
      <c r="J72" s="257">
        <f t="shared" si="6"/>
        <v>0</v>
      </c>
      <c r="L72" s="216" t="str">
        <f t="shared" si="7"/>
        <v/>
      </c>
    </row>
    <row r="73" spans="1:12" s="34" customFormat="1" ht="18" hidden="1" customHeight="1">
      <c r="A73" s="34">
        <f t="shared" si="3"/>
        <v>11</v>
      </c>
      <c r="B73" s="34" t="str">
        <f t="shared" si="5"/>
        <v>DARAT</v>
      </c>
      <c r="D73" s="252" t="str">
        <f t="array" ref="D73">IFERROR(VLOOKUP($H$2,IF(DATAKBB[NO]=LAMPIRAN!A73,DATAKBB[[TANGGAL]:[TARRA]],0),2,FALSE),"")</f>
        <v/>
      </c>
      <c r="E73" s="247" t="str">
        <f t="array" ref="E73">IFERROR(VLOOKUP($H$2,IF(DATAKBB[NO]=LAMPIRAN!A73,DATAKBB[[TANGGAL]:[TARRA]],0),3,FALSE),"")</f>
        <v/>
      </c>
      <c r="F73" s="255" t="str">
        <f t="array" ref="F73">IFERROR(VLOOKUP($H$2,IF(DATAKBB[NO]=LAMPIRAN!A73,DATAKBB[[TANGGAL]:[TARRA]],0),4,FALSE),"")</f>
        <v/>
      </c>
      <c r="G73" s="256" t="str">
        <f t="array" ref="G73">IFERROR(VLOOKUP($H$2,IF(DATAKBB[NO]=LAMPIRAN!A73,DATAKBB[[TANGGAL]:[TARRA]],0),5,FALSE),"")</f>
        <v/>
      </c>
      <c r="H73" s="257" t="str">
        <f t="array" ref="H73">IFERROR(VLOOKUP($H$2,IF(DATAKBB[NO]=LAMPIRAN!A73,DATAKBB[[TANGGAL]:[TARRA]],0),6,FALSE),"")</f>
        <v/>
      </c>
      <c r="I73" s="257" t="str">
        <f t="array" ref="I73">IFERROR(VLOOKUP($H$2,IF(DATAKBB[NO]=LAMPIRAN!A73,DATAKBB[[TANGGAL]:[TARRA]],0),7,FALSE),"")</f>
        <v/>
      </c>
      <c r="J73" s="257">
        <f t="shared" si="6"/>
        <v>0</v>
      </c>
      <c r="L73" s="216" t="str">
        <f t="shared" si="7"/>
        <v/>
      </c>
    </row>
    <row r="74" spans="1:12" s="34" customFormat="1" ht="18" hidden="1" customHeight="1">
      <c r="A74" s="34">
        <f t="shared" si="3"/>
        <v>12</v>
      </c>
      <c r="B74" s="34" t="str">
        <f t="shared" si="5"/>
        <v>DARAT</v>
      </c>
      <c r="D74" s="252" t="str">
        <f t="array" ref="D74">IFERROR(VLOOKUP($H$2,IF(DATAKBB[NO]=LAMPIRAN!A74,DATAKBB[[TANGGAL]:[TARRA]],0),2,FALSE),"")</f>
        <v/>
      </c>
      <c r="E74" s="247" t="str">
        <f t="array" ref="E74">IFERROR(VLOOKUP($H$2,IF(DATAKBB[NO]=LAMPIRAN!A74,DATAKBB[[TANGGAL]:[TARRA]],0),3,FALSE),"")</f>
        <v/>
      </c>
      <c r="F74" s="255" t="str">
        <f t="array" ref="F74">IFERROR(VLOOKUP($H$2,IF(DATAKBB[NO]=LAMPIRAN!A74,DATAKBB[[TANGGAL]:[TARRA]],0),4,FALSE),"")</f>
        <v/>
      </c>
      <c r="G74" s="256" t="str">
        <f t="array" ref="G74">IFERROR(VLOOKUP($H$2,IF(DATAKBB[NO]=LAMPIRAN!A74,DATAKBB[[TANGGAL]:[TARRA]],0),5,FALSE),"")</f>
        <v/>
      </c>
      <c r="H74" s="257" t="str">
        <f t="array" ref="H74">IFERROR(VLOOKUP($H$2,IF(DATAKBB[NO]=LAMPIRAN!A74,DATAKBB[[TANGGAL]:[TARRA]],0),6,FALSE),"")</f>
        <v/>
      </c>
      <c r="I74" s="257" t="str">
        <f t="array" ref="I74">IFERROR(VLOOKUP($H$2,IF(DATAKBB[NO]=LAMPIRAN!A74,DATAKBB[[TANGGAL]:[TARRA]],0),7,FALSE),"")</f>
        <v/>
      </c>
      <c r="J74" s="257">
        <f t="shared" si="6"/>
        <v>0</v>
      </c>
      <c r="L74" s="216" t="str">
        <f t="shared" si="7"/>
        <v/>
      </c>
    </row>
    <row r="75" spans="1:12" s="34" customFormat="1" ht="18" hidden="1" customHeight="1">
      <c r="A75" s="34">
        <f t="shared" si="3"/>
        <v>13</v>
      </c>
      <c r="B75" s="34" t="str">
        <f t="shared" si="5"/>
        <v>DARAT</v>
      </c>
      <c r="D75" s="252" t="str">
        <f t="array" ref="D75">IFERROR(VLOOKUP($H$2,IF(DATAKBB[NO]=LAMPIRAN!A75,DATAKBB[[TANGGAL]:[TARRA]],0),2,FALSE),"")</f>
        <v/>
      </c>
      <c r="E75" s="247" t="str">
        <f t="array" ref="E75">IFERROR(VLOOKUP($H$2,IF(DATAKBB[NO]=LAMPIRAN!A75,DATAKBB[[TANGGAL]:[TARRA]],0),3,FALSE),"")</f>
        <v/>
      </c>
      <c r="F75" s="255" t="str">
        <f t="array" ref="F75">IFERROR(VLOOKUP($H$2,IF(DATAKBB[NO]=LAMPIRAN!A75,DATAKBB[[TANGGAL]:[TARRA]],0),4,FALSE),"")</f>
        <v/>
      </c>
      <c r="G75" s="256" t="str">
        <f t="array" ref="G75">IFERROR(VLOOKUP($H$2,IF(DATAKBB[NO]=LAMPIRAN!A75,DATAKBB[[TANGGAL]:[TARRA]],0),5,FALSE),"")</f>
        <v/>
      </c>
      <c r="H75" s="257" t="str">
        <f t="array" ref="H75">IFERROR(VLOOKUP($H$2,IF(DATAKBB[NO]=LAMPIRAN!A75,DATAKBB[[TANGGAL]:[TARRA]],0),6,FALSE),"")</f>
        <v/>
      </c>
      <c r="I75" s="257" t="str">
        <f t="array" ref="I75">IFERROR(VLOOKUP($H$2,IF(DATAKBB[NO]=LAMPIRAN!A75,DATAKBB[[TANGGAL]:[TARRA]],0),7,FALSE),"")</f>
        <v/>
      </c>
      <c r="J75" s="257">
        <f t="shared" si="6"/>
        <v>0</v>
      </c>
      <c r="L75" s="216" t="str">
        <f t="shared" si="7"/>
        <v/>
      </c>
    </row>
    <row r="76" spans="1:12" s="34" customFormat="1" ht="18" hidden="1" customHeight="1">
      <c r="A76" s="34">
        <f t="shared" si="3"/>
        <v>14</v>
      </c>
      <c r="B76" s="34" t="str">
        <f t="shared" si="5"/>
        <v>DARAT</v>
      </c>
      <c r="D76" s="252" t="str">
        <f t="array" ref="D76">IFERROR(VLOOKUP($H$2,IF(DATAKBB[NO]=LAMPIRAN!A76,DATAKBB[[TANGGAL]:[TARRA]],0),2,FALSE),"")</f>
        <v/>
      </c>
      <c r="E76" s="247" t="str">
        <f t="array" ref="E76">IFERROR(VLOOKUP($H$2,IF(DATAKBB[NO]=LAMPIRAN!A76,DATAKBB[[TANGGAL]:[TARRA]],0),3,FALSE),"")</f>
        <v/>
      </c>
      <c r="F76" s="255" t="str">
        <f t="array" ref="F76">IFERROR(VLOOKUP($H$2,IF(DATAKBB[NO]=LAMPIRAN!A76,DATAKBB[[TANGGAL]:[TARRA]],0),4,FALSE),"")</f>
        <v/>
      </c>
      <c r="G76" s="256" t="str">
        <f t="array" ref="G76">IFERROR(VLOOKUP($H$2,IF(DATAKBB[NO]=LAMPIRAN!A76,DATAKBB[[TANGGAL]:[TARRA]],0),5,FALSE),"")</f>
        <v/>
      </c>
      <c r="H76" s="257" t="str">
        <f t="array" ref="H76">IFERROR(VLOOKUP($H$2,IF(DATAKBB[NO]=LAMPIRAN!A76,DATAKBB[[TANGGAL]:[TARRA]],0),6,FALSE),"")</f>
        <v/>
      </c>
      <c r="I76" s="257" t="str">
        <f t="array" ref="I76">IFERROR(VLOOKUP($H$2,IF(DATAKBB[NO]=LAMPIRAN!A76,DATAKBB[[TANGGAL]:[TARRA]],0),7,FALSE),"")</f>
        <v/>
      </c>
      <c r="J76" s="257">
        <f t="shared" si="6"/>
        <v>0</v>
      </c>
      <c r="L76" s="216" t="str">
        <f t="shared" si="7"/>
        <v/>
      </c>
    </row>
    <row r="77" spans="1:12" s="34" customFormat="1" ht="18" hidden="1" customHeight="1">
      <c r="A77" s="34">
        <f t="shared" si="3"/>
        <v>15</v>
      </c>
      <c r="B77" s="34" t="str">
        <f t="shared" si="5"/>
        <v>DARAT</v>
      </c>
      <c r="D77" s="252" t="str">
        <f t="array" ref="D77">IFERROR(VLOOKUP($H$2,IF(DATAKBB[NO]=LAMPIRAN!A77,DATAKBB[[TANGGAL]:[TARRA]],0),2,FALSE),"")</f>
        <v/>
      </c>
      <c r="E77" s="247" t="str">
        <f t="array" ref="E77">IFERROR(VLOOKUP($H$2,IF(DATAKBB[NO]=LAMPIRAN!A77,DATAKBB[[TANGGAL]:[TARRA]],0),3,FALSE),"")</f>
        <v/>
      </c>
      <c r="F77" s="255" t="str">
        <f t="array" ref="F77">IFERROR(VLOOKUP($H$2,IF(DATAKBB[NO]=LAMPIRAN!A77,DATAKBB[[TANGGAL]:[TARRA]],0),4,FALSE),"")</f>
        <v/>
      </c>
      <c r="G77" s="256" t="str">
        <f t="array" ref="G77">IFERROR(VLOOKUP($H$2,IF(DATAKBB[NO]=LAMPIRAN!A77,DATAKBB[[TANGGAL]:[TARRA]],0),5,FALSE),"")</f>
        <v/>
      </c>
      <c r="H77" s="257" t="str">
        <f t="array" ref="H77">IFERROR(VLOOKUP($H$2,IF(DATAKBB[NO]=LAMPIRAN!A77,DATAKBB[[TANGGAL]:[TARRA]],0),6,FALSE),"")</f>
        <v/>
      </c>
      <c r="I77" s="257" t="str">
        <f t="array" ref="I77">IFERROR(VLOOKUP($H$2,IF(DATAKBB[NO]=LAMPIRAN!A77,DATAKBB[[TANGGAL]:[TARRA]],0),7,FALSE),"")</f>
        <v/>
      </c>
      <c r="J77" s="257">
        <f t="shared" si="6"/>
        <v>0</v>
      </c>
      <c r="L77" s="216" t="str">
        <f t="shared" si="7"/>
        <v/>
      </c>
    </row>
    <row r="78" spans="1:12" s="34" customFormat="1" ht="18" hidden="1" customHeight="1">
      <c r="A78" s="34">
        <f t="shared" si="3"/>
        <v>16</v>
      </c>
      <c r="B78" s="34" t="str">
        <f t="shared" si="5"/>
        <v>DARAT</v>
      </c>
      <c r="D78" s="252" t="str">
        <f t="array" ref="D78">IFERROR(VLOOKUP($H$2,IF(DATAKBB[NO]=LAMPIRAN!A78,DATAKBB[[TANGGAL]:[TARRA]],0),2,FALSE),"")</f>
        <v/>
      </c>
      <c r="E78" s="247" t="str">
        <f t="array" ref="E78">IFERROR(VLOOKUP($H$2,IF(DATAKBB[NO]=LAMPIRAN!A78,DATAKBB[[TANGGAL]:[TARRA]],0),3,FALSE),"")</f>
        <v/>
      </c>
      <c r="F78" s="255" t="str">
        <f t="array" ref="F78">IFERROR(VLOOKUP($H$2,IF(DATAKBB[NO]=LAMPIRAN!A78,DATAKBB[[TANGGAL]:[TARRA]],0),4,FALSE),"")</f>
        <v/>
      </c>
      <c r="G78" s="256" t="str">
        <f t="array" ref="G78">IFERROR(VLOOKUP($H$2,IF(DATAKBB[NO]=LAMPIRAN!A78,DATAKBB[[TANGGAL]:[TARRA]],0),5,FALSE),"")</f>
        <v/>
      </c>
      <c r="H78" s="257" t="str">
        <f t="array" ref="H78">IFERROR(VLOOKUP($H$2,IF(DATAKBB[NO]=LAMPIRAN!A78,DATAKBB[[TANGGAL]:[TARRA]],0),6,FALSE),"")</f>
        <v/>
      </c>
      <c r="I78" s="257" t="str">
        <f t="array" ref="I78">IFERROR(VLOOKUP($H$2,IF(DATAKBB[NO]=LAMPIRAN!A78,DATAKBB[[TANGGAL]:[TARRA]],0),7,FALSE),"")</f>
        <v/>
      </c>
      <c r="J78" s="257">
        <f>IFERROR(H78-I78,0)</f>
        <v>0</v>
      </c>
      <c r="L78" s="216" t="str">
        <f t="shared" si="7"/>
        <v/>
      </c>
    </row>
    <row r="79" spans="1:12" s="34" customFormat="1" ht="18" hidden="1" customHeight="1">
      <c r="A79" s="34">
        <f t="shared" si="3"/>
        <v>17</v>
      </c>
      <c r="B79" s="34" t="str">
        <f t="shared" si="5"/>
        <v>DARAT</v>
      </c>
      <c r="D79" s="252" t="str">
        <f t="array" ref="D79">IFERROR(VLOOKUP($H$2,IF(DATAKBB[NO]=LAMPIRAN!A79,DATAKBB[[TANGGAL]:[TARRA]],0),2,FALSE),"")</f>
        <v/>
      </c>
      <c r="E79" s="247" t="str">
        <f t="array" ref="E79">IFERROR(VLOOKUP($H$2,IF(DATAKBB[NO]=LAMPIRAN!A79,DATAKBB[[TANGGAL]:[TARRA]],0),3,FALSE),"")</f>
        <v/>
      </c>
      <c r="F79" s="255" t="str">
        <f t="array" ref="F79">IFERROR(VLOOKUP($H$2,IF(DATAKBB[NO]=LAMPIRAN!A79,DATAKBB[[TANGGAL]:[TARRA]],0),4,FALSE),"")</f>
        <v/>
      </c>
      <c r="G79" s="256" t="str">
        <f t="array" ref="G79">IFERROR(VLOOKUP($H$2,IF(DATAKBB[NO]=LAMPIRAN!A79,DATAKBB[[TANGGAL]:[TARRA]],0),5,FALSE),"")</f>
        <v/>
      </c>
      <c r="H79" s="257" t="str">
        <f t="array" ref="H79">IFERROR(VLOOKUP($H$2,IF(DATAKBB[NO]=LAMPIRAN!A79,DATAKBB[[TANGGAL]:[TARRA]],0),6,FALSE),"")</f>
        <v/>
      </c>
      <c r="I79" s="257" t="str">
        <f t="array" ref="I79">IFERROR(VLOOKUP($H$2,IF(DATAKBB[NO]=LAMPIRAN!A79,DATAKBB[[TANGGAL]:[TARRA]],0),7,FALSE),"")</f>
        <v/>
      </c>
      <c r="J79" s="257">
        <f>IFERROR(H79-I79,0)</f>
        <v>0</v>
      </c>
      <c r="L79" s="216" t="str">
        <f t="shared" si="7"/>
        <v/>
      </c>
    </row>
    <row r="80" spans="1:12" s="34" customFormat="1" ht="18" hidden="1" customHeight="1">
      <c r="A80" s="34">
        <f t="shared" si="3"/>
        <v>18</v>
      </c>
      <c r="B80" s="34" t="str">
        <f t="shared" si="5"/>
        <v>DARAT</v>
      </c>
      <c r="D80" s="252" t="str">
        <f t="array" ref="D80">IFERROR(VLOOKUP($H$2,IF(DATAKBB[NO]=LAMPIRAN!A80,DATAKBB[[TANGGAL]:[TARRA]],0),2,FALSE),"")</f>
        <v/>
      </c>
      <c r="E80" s="247" t="str">
        <f t="array" ref="E80">IFERROR(VLOOKUP($H$2,IF(DATAKBB[NO]=LAMPIRAN!A80,DATAKBB[[TANGGAL]:[TARRA]],0),3,FALSE),"")</f>
        <v/>
      </c>
      <c r="F80" s="255" t="str">
        <f t="array" ref="F80">IFERROR(VLOOKUP($H$2,IF(DATAKBB[NO]=LAMPIRAN!A80,DATAKBB[[TANGGAL]:[TARRA]],0),4,FALSE),"")</f>
        <v/>
      </c>
      <c r="G80" s="256" t="str">
        <f t="array" ref="G80">IFERROR(VLOOKUP($H$2,IF(DATAKBB[NO]=LAMPIRAN!A80,DATAKBB[[TANGGAL]:[TARRA]],0),5,FALSE),"")</f>
        <v/>
      </c>
      <c r="H80" s="257" t="str">
        <f t="array" ref="H80">IFERROR(VLOOKUP($H$2,IF(DATAKBB[NO]=LAMPIRAN!A80,DATAKBB[[TANGGAL]:[TARRA]],0),6,FALSE),"")</f>
        <v/>
      </c>
      <c r="I80" s="257" t="str">
        <f t="array" ref="I80">IFERROR(VLOOKUP($H$2,IF(DATAKBB[NO]=LAMPIRAN!A80,DATAKBB[[TANGGAL]:[TARRA]],0),7,FALSE),"")</f>
        <v/>
      </c>
      <c r="J80" s="257">
        <f>IFERROR(H80-I80,0)</f>
        <v>0</v>
      </c>
      <c r="L80" s="216" t="str">
        <f t="shared" si="7"/>
        <v/>
      </c>
    </row>
    <row r="81" spans="1:12" s="34" customFormat="1" ht="18" hidden="1" customHeight="1">
      <c r="A81" s="34">
        <f t="shared" si="3"/>
        <v>19</v>
      </c>
      <c r="B81" s="34" t="str">
        <f t="shared" si="5"/>
        <v>DARAT</v>
      </c>
      <c r="D81" s="252" t="str">
        <f t="array" ref="D81">IFERROR(VLOOKUP($H$2,IF(DATAKBB[NO]=LAMPIRAN!A81,DATAKBB[[TANGGAL]:[TARRA]],0),2,FALSE),"")</f>
        <v/>
      </c>
      <c r="E81" s="247" t="str">
        <f t="array" ref="E81">IFERROR(VLOOKUP($H$2,IF(DATAKBB[NO]=LAMPIRAN!A81,DATAKBB[[TANGGAL]:[TARRA]],0),3,FALSE),"")</f>
        <v/>
      </c>
      <c r="F81" s="255" t="str">
        <f t="array" ref="F81">IFERROR(VLOOKUP($H$2,IF(DATAKBB[NO]=LAMPIRAN!A81,DATAKBB[[TANGGAL]:[TARRA]],0),4,FALSE),"")</f>
        <v/>
      </c>
      <c r="G81" s="256" t="str">
        <f t="array" ref="G81">IFERROR(VLOOKUP($H$2,IF(DATAKBB[NO]=LAMPIRAN!A81,DATAKBB[[TANGGAL]:[TARRA]],0),5,FALSE),"")</f>
        <v/>
      </c>
      <c r="H81" s="257" t="str">
        <f t="array" ref="H81">IFERROR(VLOOKUP($H$2,IF(DATAKBB[NO]=LAMPIRAN!A81,DATAKBB[[TANGGAL]:[TARRA]],0),6,FALSE),"")</f>
        <v/>
      </c>
      <c r="I81" s="257" t="str">
        <f t="array" ref="I81">IFERROR(VLOOKUP($H$2,IF(DATAKBB[NO]=LAMPIRAN!A81,DATAKBB[[TANGGAL]:[TARRA]],0),7,FALSE),"")</f>
        <v/>
      </c>
      <c r="J81" s="257">
        <f>IFERROR(H81-I81,0)</f>
        <v>0</v>
      </c>
      <c r="L81" s="216" t="str">
        <f t="shared" si="7"/>
        <v/>
      </c>
    </row>
    <row r="82" spans="1:12" s="34" customFormat="1" ht="18" hidden="1" customHeight="1">
      <c r="A82" s="34">
        <f t="shared" si="3"/>
        <v>20</v>
      </c>
      <c r="B82" s="34" t="str">
        <f t="shared" si="5"/>
        <v>DARAT</v>
      </c>
      <c r="D82" s="252" t="str">
        <f t="array" ref="D82">IFERROR(VLOOKUP($H$2,IF(DATAKBB[NO]=LAMPIRAN!A82,DATAKBB[[TANGGAL]:[TARRA]],0),2,FALSE),"")</f>
        <v/>
      </c>
      <c r="E82" s="247" t="str">
        <f t="array" ref="E82">IFERROR(VLOOKUP($H$2,IF(DATAKBB[NO]=LAMPIRAN!A82,DATAKBB[[TANGGAL]:[TARRA]],0),3,FALSE),"")</f>
        <v/>
      </c>
      <c r="F82" s="255" t="str">
        <f t="array" ref="F82">IFERROR(VLOOKUP($H$2,IF(DATAKBB[NO]=LAMPIRAN!A82,DATAKBB[[TANGGAL]:[TARRA]],0),4,FALSE),"")</f>
        <v/>
      </c>
      <c r="G82" s="256" t="str">
        <f t="array" ref="G82">IFERROR(VLOOKUP($H$2,IF(DATAKBB[NO]=LAMPIRAN!A82,DATAKBB[[TANGGAL]:[TARRA]],0),5,FALSE),"")</f>
        <v/>
      </c>
      <c r="H82" s="257" t="str">
        <f t="array" ref="H82">IFERROR(VLOOKUP($H$2,IF(DATAKBB[NO]=LAMPIRAN!A82,DATAKBB[[TANGGAL]:[TARRA]],0),6,FALSE),"")</f>
        <v/>
      </c>
      <c r="I82" s="257" t="str">
        <f t="array" ref="I82">IFERROR(VLOOKUP($H$2,IF(DATAKBB[NO]=LAMPIRAN!A82,DATAKBB[[TANGGAL]:[TARRA]],0),7,FALSE),"")</f>
        <v/>
      </c>
      <c r="J82" s="257">
        <f>IFERROR(H82-I82,0)</f>
        <v>0</v>
      </c>
      <c r="L82" s="216" t="str">
        <f t="shared" si="7"/>
        <v/>
      </c>
    </row>
    <row r="83" spans="1:12" s="34" customFormat="1" ht="5.0999999999999996" customHeight="1" thickBot="1">
      <c r="D83" s="162"/>
      <c r="E83" s="163"/>
      <c r="F83" s="164"/>
      <c r="G83" s="165"/>
      <c r="H83" s="166"/>
      <c r="I83" s="166"/>
      <c r="J83" s="166"/>
      <c r="L83" s="216" t="s">
        <v>199</v>
      </c>
    </row>
    <row r="84" spans="1:12" s="34" customFormat="1" ht="21.95" customHeight="1" thickTop="1">
      <c r="D84" s="35"/>
      <c r="E84" s="22"/>
      <c r="F84" s="304" t="s">
        <v>66</v>
      </c>
      <c r="G84" s="304">
        <f>SUM(G63:G83)</f>
        <v>0</v>
      </c>
      <c r="H84" s="313">
        <f>SUM(H63:H83)</f>
        <v>0</v>
      </c>
      <c r="I84" s="313">
        <f>SUM(I63:I83)</f>
        <v>0</v>
      </c>
      <c r="J84" s="313">
        <f>SUM(J63:J83)</f>
        <v>0</v>
      </c>
      <c r="L84" s="216" t="s">
        <v>199</v>
      </c>
    </row>
    <row r="85" spans="1:12" s="34" customFormat="1" ht="21.95" customHeight="1">
      <c r="D85" s="35"/>
      <c r="E85" s="22"/>
      <c r="F85" s="306" t="s">
        <v>67</v>
      </c>
      <c r="G85" s="307">
        <f>SUMIFS(DATAKBB[TN],DATAKBB[TANGGAL],"&lt;="&amp;DATE(YEAR($H$2),MONTH($H$2),DAY($H$2)),DATAKBB[TANGGAL],"&gt;="&amp;DATE(YEAR($H$2),MONTH($H$2),1))</f>
        <v>0</v>
      </c>
      <c r="H85" s="314">
        <f>SUMIFS(DATAKBB[BRUTO],DATAKBB[TANGGAL],"&lt;="&amp;DATE(YEAR($H$2),MONTH($H$2),DAY($H$2)),DATAKBB[TANGGAL],"&gt;="&amp;DATE(YEAR($H$2),MONTH($H$2),1))</f>
        <v>0</v>
      </c>
      <c r="I85" s="314">
        <f>SUMIFS(DATAKBB[TARRA],DATAKBB[TANGGAL],"&lt;="&amp;DATE(YEAR($H$2),MONTH($H$2),DAY($H$2)),DATAKBB[TANGGAL],"&gt;="&amp;DATE(YEAR($H$2),MONTH($H$2),1))</f>
        <v>0</v>
      </c>
      <c r="J85" s="314">
        <f>SUMIFS(DATAKBB[NETTO],DATAKBB[TANGGAL],"&lt;="&amp;DATE(YEAR($H$2),MONTH($H$2),DAY($H$2)),DATAKBB[TANGGAL],"&gt;="&amp;DATE(YEAR($H$2),MONTH($H$2),1))</f>
        <v>0</v>
      </c>
      <c r="L85" s="216" t="s">
        <v>199</v>
      </c>
    </row>
    <row r="86" spans="1:12" s="34" customFormat="1" ht="15" hidden="1" customHeight="1">
      <c r="D86" s="35"/>
      <c r="E86" s="22"/>
      <c r="F86" s="37"/>
      <c r="G86" s="37"/>
      <c r="H86" s="37"/>
      <c r="I86" s="37"/>
      <c r="J86" s="37"/>
      <c r="L86" s="216"/>
    </row>
    <row r="87" spans="1:12" s="34" customFormat="1" ht="21.95" hidden="1" customHeight="1">
      <c r="D87" s="35"/>
      <c r="E87" s="22"/>
      <c r="F87" s="628" t="s">
        <v>245</v>
      </c>
      <c r="G87" s="629"/>
      <c r="H87" s="300">
        <f t="shared" ref="H87:J88" si="8">SUM(H84,H57)</f>
        <v>0</v>
      </c>
      <c r="I87" s="300">
        <f t="shared" si="8"/>
        <v>0</v>
      </c>
      <c r="J87" s="300">
        <f t="shared" si="8"/>
        <v>0</v>
      </c>
      <c r="L87" s="216"/>
    </row>
    <row r="88" spans="1:12" s="310" customFormat="1" ht="21.95" customHeight="1">
      <c r="D88" s="309"/>
      <c r="E88" s="311"/>
      <c r="F88" s="615" t="s">
        <v>247</v>
      </c>
      <c r="G88" s="616"/>
      <c r="H88" s="315">
        <f t="shared" si="8"/>
        <v>3380370</v>
      </c>
      <c r="I88" s="315">
        <f t="shared" si="8"/>
        <v>1500120</v>
      </c>
      <c r="J88" s="315">
        <f t="shared" ca="1" si="8"/>
        <v>1880250</v>
      </c>
      <c r="L88" s="312" t="s">
        <v>199</v>
      </c>
    </row>
    <row r="89" spans="1:12" s="34" customFormat="1" ht="15" customHeight="1">
      <c r="D89" s="35"/>
      <c r="E89" s="22"/>
      <c r="F89" s="37"/>
      <c r="G89" s="37"/>
      <c r="H89" s="37"/>
      <c r="I89" s="37"/>
      <c r="J89" s="37"/>
      <c r="L89" s="216" t="s">
        <v>199</v>
      </c>
    </row>
    <row r="90" spans="1:12" s="34" customFormat="1" ht="20.100000000000001" customHeight="1">
      <c r="D90" s="625" t="s">
        <v>72</v>
      </c>
      <c r="E90" s="626"/>
      <c r="F90" s="626"/>
      <c r="G90" s="627"/>
      <c r="H90" s="46" t="s">
        <v>73</v>
      </c>
      <c r="I90" s="46" t="s">
        <v>73</v>
      </c>
      <c r="J90" s="291" t="s">
        <v>73</v>
      </c>
      <c r="L90" s="216" t="s">
        <v>199</v>
      </c>
    </row>
    <row r="91" spans="1:12" s="34" customFormat="1" ht="20.100000000000001" customHeight="1">
      <c r="D91" s="26" t="s">
        <v>58</v>
      </c>
      <c r="E91" s="27" t="s">
        <v>59</v>
      </c>
      <c r="F91" s="28" t="s">
        <v>60</v>
      </c>
      <c r="G91" s="27" t="s">
        <v>61</v>
      </c>
      <c r="H91" s="100" t="s">
        <v>74</v>
      </c>
      <c r="I91" s="100" t="s">
        <v>75</v>
      </c>
      <c r="J91" s="292" t="s">
        <v>76</v>
      </c>
      <c r="L91" s="216" t="s">
        <v>199</v>
      </c>
    </row>
    <row r="92" spans="1:12" s="34" customFormat="1" ht="20.100000000000001" customHeight="1" thickBot="1">
      <c r="D92" s="30">
        <v>1</v>
      </c>
      <c r="E92" s="31">
        <v>2</v>
      </c>
      <c r="F92" s="30">
        <v>3</v>
      </c>
      <c r="G92" s="32">
        <v>4</v>
      </c>
      <c r="H92" s="33">
        <v>5</v>
      </c>
      <c r="I92" s="33">
        <v>6</v>
      </c>
      <c r="J92" s="33" t="s">
        <v>65</v>
      </c>
      <c r="L92" s="216" t="s">
        <v>199</v>
      </c>
    </row>
    <row r="93" spans="1:12" s="34" customFormat="1" ht="20.100000000000001" customHeight="1" thickTop="1">
      <c r="A93" s="34">
        <v>1</v>
      </c>
      <c r="D93" s="258" t="str">
        <f t="array" ref="D93">IFERROR(VLOOKUP($H$2,IF(DATAKBS[NO]=LAMPIRAN!A93,DATAKBS[[TANGGAL]:[TARRA]],0),2,FALSE),"")</f>
        <v/>
      </c>
      <c r="E93" s="259" t="str">
        <f t="array" ref="E93">IFERROR(VLOOKUP($H$2,IF(DATAKBS[NO]=LAMPIRAN!A93,DATAKBS[[TANGGAL]:[TARRA]],0),3,FALSE),"NIHIL")</f>
        <v>NIHIL</v>
      </c>
      <c r="F93" s="260" t="str">
        <f t="array" ref="F93">IFERROR(VLOOKUP($H$2,IF(DATAKBS[NO]=LAMPIRAN!A93,DATAKBS[[TANGGAL]:[TARRA]],0),4,FALSE),"")</f>
        <v/>
      </c>
      <c r="G93" s="260" t="str">
        <f t="array" ref="G93">IFERROR(VLOOKUP($H$2,IF(DATAKBS[NO]=LAMPIRAN!A93,DATAKBS[[TANGGAL]:[TARRA]],0),5,FALSE),"")</f>
        <v/>
      </c>
      <c r="H93" s="261" t="str">
        <f t="array" ref="H93">IFERROR(VLOOKUP($H$2,IF(DATAKBS[NO]=LAMPIRAN!A93,DATAKBS[[TANGGAL]:[TARRA]],0),6,FALSE),"")</f>
        <v/>
      </c>
      <c r="I93" s="261" t="str">
        <f t="array" ref="I93">IFERROR(VLOOKUP($H$2,IF(DATAKBS[NO]=LAMPIRAN!A93,DATAKBS[[TANGGAL]:[TARRA]],0),7,FALSE),"")</f>
        <v/>
      </c>
      <c r="J93" s="261">
        <f>IFERROR(H93-I93,0)</f>
        <v>0</v>
      </c>
      <c r="L93" s="216" t="s">
        <v>199</v>
      </c>
    </row>
    <row r="94" spans="1:12" s="34" customFormat="1" ht="20.100000000000001" hidden="1" customHeight="1">
      <c r="A94" s="34">
        <f t="shared" ref="A94:A117" si="9">+A93+1</f>
        <v>2</v>
      </c>
      <c r="D94" s="262" t="str">
        <f t="array" ref="D94">IFERROR(VLOOKUP($H$2,IF(DATAKBS[NO]=LAMPIRAN!A94,DATAKBS[[TANGGAL]:[TARRA]],0),2,FALSE),"")</f>
        <v/>
      </c>
      <c r="E94" s="255" t="str">
        <f t="array" ref="E94">IFERROR(VLOOKUP($H$2,IF(DATAKBS[NO]=LAMPIRAN!A94,DATAKBS[[TANGGAL]:[TARRA]],0),3,FALSE),"")</f>
        <v/>
      </c>
      <c r="F94" s="263" t="str">
        <f t="array" ref="F94">IFERROR(VLOOKUP($H$2,IF(DATAKBS[NO]=LAMPIRAN!A94,DATAKBS[[TANGGAL]:[TARRA]],0),4,FALSE),"")</f>
        <v/>
      </c>
      <c r="G94" s="263" t="str">
        <f t="array" ref="G94">IFERROR(VLOOKUP($H$2,IF(DATAKBS[NO]=LAMPIRAN!A94,DATAKBS[[TANGGAL]:[TARRA]],0),5,FALSE),"")</f>
        <v/>
      </c>
      <c r="H94" s="264" t="str">
        <f t="array" ref="H94">IFERROR(VLOOKUP($H$2,IF(DATAKBS[NO]=LAMPIRAN!A94,DATAKBS[[TANGGAL]:[TARRA]],0),6,FALSE),"")</f>
        <v/>
      </c>
      <c r="I94" s="264" t="str">
        <f t="array" ref="I94">IFERROR(VLOOKUP($H$2,IF(DATAKBS[NO]=LAMPIRAN!A94,DATAKBS[[TANGGAL]:[TARRA]],0),7,FALSE),"")</f>
        <v/>
      </c>
      <c r="J94" s="264">
        <f>IFERROR(H94-I94,0)</f>
        <v>0</v>
      </c>
      <c r="L94" s="216" t="str">
        <f t="shared" ref="L94:L117" si="10">IF(J94=0,"","Ok")</f>
        <v/>
      </c>
    </row>
    <row r="95" spans="1:12" s="34" customFormat="1" ht="20.100000000000001" hidden="1" customHeight="1">
      <c r="A95" s="34">
        <f t="shared" si="9"/>
        <v>3</v>
      </c>
      <c r="D95" s="262" t="str">
        <f t="array" ref="D95">IFERROR(VLOOKUP($H$2,IF(DATAKBS[NO]=LAMPIRAN!A95,DATAKBS[[TANGGAL]:[TARRA]],0),2,FALSE),"")</f>
        <v/>
      </c>
      <c r="E95" s="255" t="str">
        <f t="array" ref="E95">IFERROR(VLOOKUP($H$2,IF(DATAKBS[NO]=LAMPIRAN!A95,DATAKBS[[TANGGAL]:[TARRA]],0),3,FALSE),"")</f>
        <v/>
      </c>
      <c r="F95" s="263" t="str">
        <f t="array" ref="F95">IFERROR(VLOOKUP($H$2,IF(DATAKBS[NO]=LAMPIRAN!A95,DATAKBS[[TANGGAL]:[TARRA]],0),4,FALSE),"")</f>
        <v/>
      </c>
      <c r="G95" s="263" t="str">
        <f t="array" ref="G95">IFERROR(VLOOKUP($H$2,IF(DATAKBS[NO]=LAMPIRAN!A95,DATAKBS[[TANGGAL]:[TARRA]],0),5,FALSE),"")</f>
        <v/>
      </c>
      <c r="H95" s="264" t="str">
        <f t="array" ref="H95">IFERROR(VLOOKUP($H$2,IF(DATAKBS[NO]=LAMPIRAN!A95,DATAKBS[[TANGGAL]:[TARRA]],0),6,FALSE),"")</f>
        <v/>
      </c>
      <c r="I95" s="264" t="str">
        <f t="array" ref="I95">IFERROR(VLOOKUP($H$2,IF(DATAKBS[NO]=LAMPIRAN!A95,DATAKBS[[TANGGAL]:[TARRA]],0),7,FALSE),"")</f>
        <v/>
      </c>
      <c r="J95" s="264">
        <f t="shared" ref="J95:J117" si="11">IFERROR(H95-I95,0)</f>
        <v>0</v>
      </c>
      <c r="L95" s="216" t="str">
        <f t="shared" si="10"/>
        <v/>
      </c>
    </row>
    <row r="96" spans="1:12" s="34" customFormat="1" ht="20.100000000000001" hidden="1" customHeight="1">
      <c r="A96" s="34">
        <f t="shared" si="9"/>
        <v>4</v>
      </c>
      <c r="D96" s="262" t="str">
        <f t="array" ref="D96">IFERROR(VLOOKUP($H$2,IF(DATAKBS[NO]=LAMPIRAN!A96,DATAKBS[[TANGGAL]:[TARRA]],0),2,FALSE),"")</f>
        <v/>
      </c>
      <c r="E96" s="255" t="str">
        <f t="array" ref="E96">IFERROR(VLOOKUP($H$2,IF(DATAKBS[NO]=LAMPIRAN!A96,DATAKBS[[TANGGAL]:[TARRA]],0),3,FALSE),"")</f>
        <v/>
      </c>
      <c r="F96" s="263" t="str">
        <f t="array" ref="F96">IFERROR(VLOOKUP($H$2,IF(DATAKBS[NO]=LAMPIRAN!A96,DATAKBS[[TANGGAL]:[TARRA]],0),4,FALSE),"")</f>
        <v/>
      </c>
      <c r="G96" s="263" t="str">
        <f t="array" ref="G96">IFERROR(VLOOKUP($H$2,IF(DATAKBS[NO]=LAMPIRAN!A96,DATAKBS[[TANGGAL]:[TARRA]],0),5,FALSE),"")</f>
        <v/>
      </c>
      <c r="H96" s="264" t="str">
        <f t="array" ref="H96">IFERROR(VLOOKUP($H$2,IF(DATAKBS[NO]=LAMPIRAN!A96,DATAKBS[[TANGGAL]:[TARRA]],0),6,FALSE),"")</f>
        <v/>
      </c>
      <c r="I96" s="264" t="str">
        <f t="array" ref="I96">IFERROR(VLOOKUP($H$2,IF(DATAKBS[NO]=LAMPIRAN!A96,DATAKBS[[TANGGAL]:[TARRA]],0),7,FALSE),"")</f>
        <v/>
      </c>
      <c r="J96" s="264">
        <f t="shared" si="11"/>
        <v>0</v>
      </c>
      <c r="L96" s="216" t="str">
        <f t="shared" si="10"/>
        <v/>
      </c>
    </row>
    <row r="97" spans="1:12" s="34" customFormat="1" ht="20.100000000000001" hidden="1" customHeight="1">
      <c r="A97" s="34">
        <f t="shared" si="9"/>
        <v>5</v>
      </c>
      <c r="D97" s="262" t="str">
        <f t="array" ref="D97">IFERROR(VLOOKUP($H$2,IF(DATAKBS[NO]=LAMPIRAN!A97,DATAKBS[[TANGGAL]:[TARRA]],0),2,FALSE),"")</f>
        <v/>
      </c>
      <c r="E97" s="255" t="str">
        <f t="array" ref="E97">IFERROR(VLOOKUP($H$2,IF(DATAKBS[NO]=LAMPIRAN!A97,DATAKBS[[TANGGAL]:[TARRA]],0),3,FALSE),"")</f>
        <v/>
      </c>
      <c r="F97" s="263" t="str">
        <f t="array" ref="F97">IFERROR(VLOOKUP($H$2,IF(DATAKBS[NO]=LAMPIRAN!A97,DATAKBS[[TANGGAL]:[TARRA]],0),4,FALSE),"")</f>
        <v/>
      </c>
      <c r="G97" s="263" t="str">
        <f t="array" ref="G97">IFERROR(VLOOKUP($H$2,IF(DATAKBS[NO]=LAMPIRAN!A97,DATAKBS[[TANGGAL]:[TARRA]],0),5,FALSE),"")</f>
        <v/>
      </c>
      <c r="H97" s="264" t="str">
        <f t="array" ref="H97">IFERROR(VLOOKUP($H$2,IF(DATAKBS[NO]=LAMPIRAN!A97,DATAKBS[[TANGGAL]:[TARRA]],0),6,FALSE),"")</f>
        <v/>
      </c>
      <c r="I97" s="264" t="str">
        <f t="array" ref="I97">IFERROR(VLOOKUP($H$2,IF(DATAKBS[NO]=LAMPIRAN!A97,DATAKBS[[TANGGAL]:[TARRA]],0),7,FALSE),"")</f>
        <v/>
      </c>
      <c r="J97" s="264">
        <f t="shared" si="11"/>
        <v>0</v>
      </c>
      <c r="L97" s="216" t="str">
        <f t="shared" si="10"/>
        <v/>
      </c>
    </row>
    <row r="98" spans="1:12" s="34" customFormat="1" ht="20.100000000000001" hidden="1" customHeight="1">
      <c r="A98" s="34">
        <f t="shared" si="9"/>
        <v>6</v>
      </c>
      <c r="D98" s="262" t="str">
        <f t="array" ref="D98">IFERROR(VLOOKUP($H$2,IF(DATAKBS[NO]=LAMPIRAN!A98,DATAKBS[[TANGGAL]:[TARRA]],0),2,FALSE),"")</f>
        <v/>
      </c>
      <c r="E98" s="255" t="str">
        <f t="array" ref="E98">IFERROR(VLOOKUP($H$2,IF(DATAKBS[NO]=LAMPIRAN!A98,DATAKBS[[TANGGAL]:[TARRA]],0),3,FALSE),"")</f>
        <v/>
      </c>
      <c r="F98" s="263" t="str">
        <f t="array" ref="F98">IFERROR(VLOOKUP($H$2,IF(DATAKBS[NO]=LAMPIRAN!A98,DATAKBS[[TANGGAL]:[TARRA]],0),4,FALSE),"")</f>
        <v/>
      </c>
      <c r="G98" s="263" t="str">
        <f t="array" ref="G98">IFERROR(VLOOKUP($H$2,IF(DATAKBS[NO]=LAMPIRAN!A98,DATAKBS[[TANGGAL]:[TARRA]],0),5,FALSE),"")</f>
        <v/>
      </c>
      <c r="H98" s="264" t="str">
        <f t="array" ref="H98">IFERROR(VLOOKUP($H$2,IF(DATAKBS[NO]=LAMPIRAN!A98,DATAKBS[[TANGGAL]:[TARRA]],0),6,FALSE),"")</f>
        <v/>
      </c>
      <c r="I98" s="264" t="str">
        <f t="array" ref="I98">IFERROR(VLOOKUP($H$2,IF(DATAKBS[NO]=LAMPIRAN!A98,DATAKBS[[TANGGAL]:[TARRA]],0),7,FALSE),"")</f>
        <v/>
      </c>
      <c r="J98" s="264">
        <f t="shared" si="11"/>
        <v>0</v>
      </c>
      <c r="L98" s="216" t="str">
        <f t="shared" si="10"/>
        <v/>
      </c>
    </row>
    <row r="99" spans="1:12" s="34" customFormat="1" ht="20.100000000000001" hidden="1" customHeight="1">
      <c r="A99" s="34">
        <f t="shared" si="9"/>
        <v>7</v>
      </c>
      <c r="D99" s="262" t="str">
        <f t="array" ref="D99">IFERROR(VLOOKUP($H$2,IF(DATAKBS[NO]=LAMPIRAN!A99,DATAKBS[[TANGGAL]:[TARRA]],0),2,FALSE),"")</f>
        <v/>
      </c>
      <c r="E99" s="255" t="str">
        <f t="array" ref="E99">IFERROR(VLOOKUP($H$2,IF(DATAKBS[NO]=LAMPIRAN!A99,DATAKBS[[TANGGAL]:[TARRA]],0),3,FALSE),"")</f>
        <v/>
      </c>
      <c r="F99" s="263" t="str">
        <f t="array" ref="F99">IFERROR(VLOOKUP($H$2,IF(DATAKBS[NO]=LAMPIRAN!A99,DATAKBS[[TANGGAL]:[TARRA]],0),4,FALSE),"")</f>
        <v/>
      </c>
      <c r="G99" s="263" t="str">
        <f t="array" ref="G99">IFERROR(VLOOKUP($H$2,IF(DATAKBS[NO]=LAMPIRAN!A99,DATAKBS[[TANGGAL]:[TARRA]],0),5,FALSE),"")</f>
        <v/>
      </c>
      <c r="H99" s="264" t="str">
        <f t="array" ref="H99">IFERROR(VLOOKUP($H$2,IF(DATAKBS[NO]=LAMPIRAN!A99,DATAKBS[[TANGGAL]:[TARRA]],0),6,FALSE),"")</f>
        <v/>
      </c>
      <c r="I99" s="264" t="str">
        <f t="array" ref="I99">IFERROR(VLOOKUP($H$2,IF(DATAKBS[NO]=LAMPIRAN!A99,DATAKBS[[TANGGAL]:[TARRA]],0),7,FALSE),"")</f>
        <v/>
      </c>
      <c r="J99" s="264">
        <f t="shared" si="11"/>
        <v>0</v>
      </c>
      <c r="L99" s="216" t="str">
        <f t="shared" si="10"/>
        <v/>
      </c>
    </row>
    <row r="100" spans="1:12" s="34" customFormat="1" ht="20.100000000000001" hidden="1" customHeight="1">
      <c r="A100" s="34">
        <f t="shared" si="9"/>
        <v>8</v>
      </c>
      <c r="D100" s="262" t="str">
        <f t="array" ref="D100">IFERROR(VLOOKUP($H$2,IF(DATAKBS[NO]=LAMPIRAN!A100,DATAKBS[[TANGGAL]:[TARRA]],0),2,FALSE),"")</f>
        <v/>
      </c>
      <c r="E100" s="255" t="str">
        <f t="array" ref="E100">IFERROR(VLOOKUP($H$2,IF(DATAKBS[NO]=LAMPIRAN!A100,DATAKBS[[TANGGAL]:[TARRA]],0),3,FALSE),"")</f>
        <v/>
      </c>
      <c r="F100" s="263" t="str">
        <f t="array" ref="F100">IFERROR(VLOOKUP($H$2,IF(DATAKBS[NO]=LAMPIRAN!A100,DATAKBS[[TANGGAL]:[TARRA]],0),4,FALSE),"")</f>
        <v/>
      </c>
      <c r="G100" s="263" t="str">
        <f t="array" ref="G100">IFERROR(VLOOKUP($H$2,IF(DATAKBS[NO]=LAMPIRAN!A100,DATAKBS[[TANGGAL]:[TARRA]],0),5,FALSE),"")</f>
        <v/>
      </c>
      <c r="H100" s="264" t="str">
        <f t="array" ref="H100">IFERROR(VLOOKUP($H$2,IF(DATAKBS[NO]=LAMPIRAN!A100,DATAKBS[[TANGGAL]:[TARRA]],0),6,FALSE),"")</f>
        <v/>
      </c>
      <c r="I100" s="264" t="str">
        <f t="array" ref="I100">IFERROR(VLOOKUP($H$2,IF(DATAKBS[NO]=LAMPIRAN!A100,DATAKBS[[TANGGAL]:[TARRA]],0),7,FALSE),"")</f>
        <v/>
      </c>
      <c r="J100" s="264">
        <f t="shared" si="11"/>
        <v>0</v>
      </c>
      <c r="L100" s="216" t="str">
        <f t="shared" si="10"/>
        <v/>
      </c>
    </row>
    <row r="101" spans="1:12" s="34" customFormat="1" ht="20.100000000000001" hidden="1" customHeight="1">
      <c r="A101" s="34">
        <f t="shared" si="9"/>
        <v>9</v>
      </c>
      <c r="D101" s="262" t="str">
        <f t="array" ref="D101">IFERROR(VLOOKUP($H$2,IF(DATAKBS[NO]=LAMPIRAN!A101,DATAKBS[[TANGGAL]:[TARRA]],0),2,FALSE),"")</f>
        <v/>
      </c>
      <c r="E101" s="255" t="str">
        <f t="array" ref="E101">IFERROR(VLOOKUP($H$2,IF(DATAKBS[NO]=LAMPIRAN!A101,DATAKBS[[TANGGAL]:[TARRA]],0),3,FALSE),"")</f>
        <v/>
      </c>
      <c r="F101" s="263" t="str">
        <f t="array" ref="F101">IFERROR(VLOOKUP($H$2,IF(DATAKBS[NO]=LAMPIRAN!A101,DATAKBS[[TANGGAL]:[TARRA]],0),4,FALSE),"")</f>
        <v/>
      </c>
      <c r="G101" s="263" t="str">
        <f t="array" ref="G101">IFERROR(VLOOKUP($H$2,IF(DATAKBS[NO]=LAMPIRAN!A101,DATAKBS[[TANGGAL]:[TARRA]],0),5,FALSE),"")</f>
        <v/>
      </c>
      <c r="H101" s="264" t="str">
        <f t="array" ref="H101">IFERROR(VLOOKUP($H$2,IF(DATAKBS[NO]=LAMPIRAN!A101,DATAKBS[[TANGGAL]:[TARRA]],0),6,FALSE),"")</f>
        <v/>
      </c>
      <c r="I101" s="264" t="str">
        <f t="array" ref="I101">IFERROR(VLOOKUP($H$2,IF(DATAKBS[NO]=LAMPIRAN!A101,DATAKBS[[TANGGAL]:[TARRA]],0),7,FALSE),"")</f>
        <v/>
      </c>
      <c r="J101" s="264">
        <f t="shared" si="11"/>
        <v>0</v>
      </c>
      <c r="L101" s="216" t="str">
        <f t="shared" si="10"/>
        <v/>
      </c>
    </row>
    <row r="102" spans="1:12" s="34" customFormat="1" ht="20.100000000000001" hidden="1" customHeight="1">
      <c r="A102" s="34">
        <f t="shared" si="9"/>
        <v>10</v>
      </c>
      <c r="D102" s="262" t="str">
        <f t="array" ref="D102">IFERROR(VLOOKUP($H$2,IF(DATAKBS[NO]=LAMPIRAN!A102,DATAKBS[[TANGGAL]:[TARRA]],0),2,FALSE),"")</f>
        <v/>
      </c>
      <c r="E102" s="255" t="str">
        <f t="array" ref="E102">IFERROR(VLOOKUP($H$2,IF(DATAKBS[NO]=LAMPIRAN!A102,DATAKBS[[TANGGAL]:[TARRA]],0),3,FALSE),"")</f>
        <v/>
      </c>
      <c r="F102" s="263" t="str">
        <f t="array" ref="F102">IFERROR(VLOOKUP($H$2,IF(DATAKBS[NO]=LAMPIRAN!A102,DATAKBS[[TANGGAL]:[TARRA]],0),4,FALSE),"")</f>
        <v/>
      </c>
      <c r="G102" s="263" t="str">
        <f t="array" ref="G102">IFERROR(VLOOKUP($H$2,IF(DATAKBS[NO]=LAMPIRAN!A102,DATAKBS[[TANGGAL]:[TARRA]],0),5,FALSE),"")</f>
        <v/>
      </c>
      <c r="H102" s="264" t="str">
        <f t="array" ref="H102">IFERROR(VLOOKUP($H$2,IF(DATAKBS[NO]=LAMPIRAN!A102,DATAKBS[[TANGGAL]:[TARRA]],0),6,FALSE),"")</f>
        <v/>
      </c>
      <c r="I102" s="264" t="str">
        <f t="array" ref="I102">IFERROR(VLOOKUP($H$2,IF(DATAKBS[NO]=LAMPIRAN!A102,DATAKBS[[TANGGAL]:[TARRA]],0),7,FALSE),"")</f>
        <v/>
      </c>
      <c r="J102" s="264">
        <f t="shared" si="11"/>
        <v>0</v>
      </c>
      <c r="L102" s="216" t="str">
        <f t="shared" si="10"/>
        <v/>
      </c>
    </row>
    <row r="103" spans="1:12" s="34" customFormat="1" ht="20.100000000000001" hidden="1" customHeight="1">
      <c r="A103" s="34">
        <f t="shared" si="9"/>
        <v>11</v>
      </c>
      <c r="D103" s="262" t="str">
        <f t="array" ref="D103">IFERROR(VLOOKUP($H$2,IF(DATAKBS[NO]=LAMPIRAN!A103,DATAKBS[[TANGGAL]:[TARRA]],0),2,FALSE),"")</f>
        <v/>
      </c>
      <c r="E103" s="255" t="str">
        <f t="array" ref="E103">IFERROR(VLOOKUP($H$2,IF(DATAKBS[NO]=LAMPIRAN!A103,DATAKBS[[TANGGAL]:[TARRA]],0),3,FALSE),"")</f>
        <v/>
      </c>
      <c r="F103" s="263" t="str">
        <f t="array" ref="F103">IFERROR(VLOOKUP($H$2,IF(DATAKBS[NO]=LAMPIRAN!A103,DATAKBS[[TANGGAL]:[TARRA]],0),4,FALSE),"")</f>
        <v/>
      </c>
      <c r="G103" s="263" t="str">
        <f t="array" ref="G103">IFERROR(VLOOKUP($H$2,IF(DATAKBS[NO]=LAMPIRAN!A103,DATAKBS[[TANGGAL]:[TARRA]],0),5,FALSE),"")</f>
        <v/>
      </c>
      <c r="H103" s="264" t="str">
        <f t="array" ref="H103">IFERROR(VLOOKUP($H$2,IF(DATAKBS[NO]=LAMPIRAN!A103,DATAKBS[[TANGGAL]:[TARRA]],0),6,FALSE),"")</f>
        <v/>
      </c>
      <c r="I103" s="264" t="str">
        <f t="array" ref="I103">IFERROR(VLOOKUP($H$2,IF(DATAKBS[NO]=LAMPIRAN!A103,DATAKBS[[TANGGAL]:[TARRA]],0),7,FALSE),"")</f>
        <v/>
      </c>
      <c r="J103" s="264">
        <f t="shared" si="11"/>
        <v>0</v>
      </c>
      <c r="L103" s="216" t="str">
        <f t="shared" si="10"/>
        <v/>
      </c>
    </row>
    <row r="104" spans="1:12" s="34" customFormat="1" ht="20.100000000000001" hidden="1" customHeight="1">
      <c r="A104" s="34">
        <f t="shared" si="9"/>
        <v>12</v>
      </c>
      <c r="D104" s="262" t="str">
        <f t="array" ref="D104">IFERROR(VLOOKUP($H$2,IF(DATAKBS[NO]=LAMPIRAN!A104,DATAKBS[[TANGGAL]:[TARRA]],0),2,FALSE),"")</f>
        <v/>
      </c>
      <c r="E104" s="255" t="str">
        <f t="array" ref="E104">IFERROR(VLOOKUP($H$2,IF(DATAKBS[NO]=LAMPIRAN!A104,DATAKBS[[TANGGAL]:[TARRA]],0),3,FALSE),"")</f>
        <v/>
      </c>
      <c r="F104" s="263" t="str">
        <f t="array" ref="F104">IFERROR(VLOOKUP($H$2,IF(DATAKBS[NO]=LAMPIRAN!A104,DATAKBS[[TANGGAL]:[TARRA]],0),4,FALSE),"")</f>
        <v/>
      </c>
      <c r="G104" s="263" t="str">
        <f t="array" ref="G104">IFERROR(VLOOKUP($H$2,IF(DATAKBS[NO]=LAMPIRAN!A104,DATAKBS[[TANGGAL]:[TARRA]],0),5,FALSE),"")</f>
        <v/>
      </c>
      <c r="H104" s="264" t="str">
        <f t="array" ref="H104">IFERROR(VLOOKUP($H$2,IF(DATAKBS[NO]=LAMPIRAN!A104,DATAKBS[[TANGGAL]:[TARRA]],0),6,FALSE),"")</f>
        <v/>
      </c>
      <c r="I104" s="264" t="str">
        <f t="array" ref="I104">IFERROR(VLOOKUP($H$2,IF(DATAKBS[NO]=LAMPIRAN!A104,DATAKBS[[TANGGAL]:[TARRA]],0),7,FALSE),"")</f>
        <v/>
      </c>
      <c r="J104" s="264">
        <f t="shared" si="11"/>
        <v>0</v>
      </c>
      <c r="L104" s="216" t="str">
        <f t="shared" si="10"/>
        <v/>
      </c>
    </row>
    <row r="105" spans="1:12" s="34" customFormat="1" ht="20.100000000000001" hidden="1" customHeight="1">
      <c r="A105" s="34">
        <f t="shared" si="9"/>
        <v>13</v>
      </c>
      <c r="D105" s="262" t="str">
        <f t="array" ref="D105">IFERROR(VLOOKUP($H$2,IF(DATAKBS[NO]=LAMPIRAN!A105,DATAKBS[[TANGGAL]:[TARRA]],0),2,FALSE),"")</f>
        <v/>
      </c>
      <c r="E105" s="255" t="str">
        <f t="array" ref="E105">IFERROR(VLOOKUP($H$2,IF(DATAKBS[NO]=LAMPIRAN!A105,DATAKBS[[TANGGAL]:[TARRA]],0),3,FALSE),"")</f>
        <v/>
      </c>
      <c r="F105" s="263" t="str">
        <f t="array" ref="F105">IFERROR(VLOOKUP($H$2,IF(DATAKBS[NO]=LAMPIRAN!A105,DATAKBS[[TANGGAL]:[TARRA]],0),4,FALSE),"")</f>
        <v/>
      </c>
      <c r="G105" s="263" t="str">
        <f t="array" ref="G105">IFERROR(VLOOKUP($H$2,IF(DATAKBS[NO]=LAMPIRAN!A105,DATAKBS[[TANGGAL]:[TARRA]],0),5,FALSE),"")</f>
        <v/>
      </c>
      <c r="H105" s="264" t="str">
        <f t="array" ref="H105">IFERROR(VLOOKUP($H$2,IF(DATAKBS[NO]=LAMPIRAN!A105,DATAKBS[[TANGGAL]:[TARRA]],0),6,FALSE),"")</f>
        <v/>
      </c>
      <c r="I105" s="264" t="str">
        <f t="array" ref="I105">IFERROR(VLOOKUP($H$2,IF(DATAKBS[NO]=LAMPIRAN!A105,DATAKBS[[TANGGAL]:[TARRA]],0),7,FALSE),"")</f>
        <v/>
      </c>
      <c r="J105" s="264">
        <f t="shared" si="11"/>
        <v>0</v>
      </c>
      <c r="L105" s="216" t="str">
        <f t="shared" si="10"/>
        <v/>
      </c>
    </row>
    <row r="106" spans="1:12" s="34" customFormat="1" ht="20.100000000000001" hidden="1" customHeight="1">
      <c r="A106" s="34">
        <f t="shared" si="9"/>
        <v>14</v>
      </c>
      <c r="D106" s="262" t="str">
        <f t="array" ref="D106">IFERROR(VLOOKUP($H$2,IF(DATAKBS[NO]=LAMPIRAN!A106,DATAKBS[[TANGGAL]:[TARRA]],0),2,FALSE),"")</f>
        <v/>
      </c>
      <c r="E106" s="255" t="str">
        <f t="array" ref="E106">IFERROR(VLOOKUP($H$2,IF(DATAKBS[NO]=LAMPIRAN!A106,DATAKBS[[TANGGAL]:[TARRA]],0),3,FALSE),"")</f>
        <v/>
      </c>
      <c r="F106" s="263" t="str">
        <f t="array" ref="F106">IFERROR(VLOOKUP($H$2,IF(DATAKBS[NO]=LAMPIRAN!A106,DATAKBS[[TANGGAL]:[TARRA]],0),4,FALSE),"")</f>
        <v/>
      </c>
      <c r="G106" s="263" t="str">
        <f t="array" ref="G106">IFERROR(VLOOKUP($H$2,IF(DATAKBS[NO]=LAMPIRAN!A106,DATAKBS[[TANGGAL]:[TARRA]],0),5,FALSE),"")</f>
        <v/>
      </c>
      <c r="H106" s="264" t="str">
        <f t="array" ref="H106">IFERROR(VLOOKUP($H$2,IF(DATAKBS[NO]=LAMPIRAN!A106,DATAKBS[[TANGGAL]:[TARRA]],0),6,FALSE),"")</f>
        <v/>
      </c>
      <c r="I106" s="264" t="str">
        <f t="array" ref="I106">IFERROR(VLOOKUP($H$2,IF(DATAKBS[NO]=LAMPIRAN!A106,DATAKBS[[TANGGAL]:[TARRA]],0),7,FALSE),"")</f>
        <v/>
      </c>
      <c r="J106" s="264">
        <f t="shared" si="11"/>
        <v>0</v>
      </c>
      <c r="L106" s="216" t="str">
        <f t="shared" si="10"/>
        <v/>
      </c>
    </row>
    <row r="107" spans="1:12" s="34" customFormat="1" ht="20.100000000000001" hidden="1" customHeight="1">
      <c r="A107" s="34">
        <f t="shared" si="9"/>
        <v>15</v>
      </c>
      <c r="D107" s="262" t="str">
        <f t="array" ref="D107">IFERROR(VLOOKUP($H$2,IF(DATAKBS[NO]=LAMPIRAN!A107,DATAKBS[[TANGGAL]:[TARRA]],0),2,FALSE),"")</f>
        <v/>
      </c>
      <c r="E107" s="255" t="str">
        <f t="array" ref="E107">IFERROR(VLOOKUP($H$2,IF(DATAKBS[NO]=LAMPIRAN!A107,DATAKBS[[TANGGAL]:[TARRA]],0),3,FALSE),"")</f>
        <v/>
      </c>
      <c r="F107" s="263" t="str">
        <f t="array" ref="F107">IFERROR(VLOOKUP($H$2,IF(DATAKBS[NO]=LAMPIRAN!A107,DATAKBS[[TANGGAL]:[TARRA]],0),4,FALSE),"")</f>
        <v/>
      </c>
      <c r="G107" s="263" t="str">
        <f t="array" ref="G107">IFERROR(VLOOKUP($H$2,IF(DATAKBS[NO]=LAMPIRAN!A107,DATAKBS[[TANGGAL]:[TARRA]],0),5,FALSE),"")</f>
        <v/>
      </c>
      <c r="H107" s="264" t="str">
        <f t="array" ref="H107">IFERROR(VLOOKUP($H$2,IF(DATAKBS[NO]=LAMPIRAN!A107,DATAKBS[[TANGGAL]:[TARRA]],0),6,FALSE),"")</f>
        <v/>
      </c>
      <c r="I107" s="264" t="str">
        <f t="array" ref="I107">IFERROR(VLOOKUP($H$2,IF(DATAKBS[NO]=LAMPIRAN!A107,DATAKBS[[TANGGAL]:[TARRA]],0),7,FALSE),"")</f>
        <v/>
      </c>
      <c r="J107" s="264">
        <f t="shared" si="11"/>
        <v>0</v>
      </c>
      <c r="L107" s="216" t="str">
        <f t="shared" si="10"/>
        <v/>
      </c>
    </row>
    <row r="108" spans="1:12" s="34" customFormat="1" ht="20.100000000000001" hidden="1" customHeight="1">
      <c r="A108" s="34">
        <f t="shared" si="9"/>
        <v>16</v>
      </c>
      <c r="D108" s="262" t="str">
        <f t="array" ref="D108">IFERROR(VLOOKUP($H$2,IF(DATAKBS[NO]=LAMPIRAN!A108,DATAKBS[[TANGGAL]:[TARRA]],0),2,FALSE),"")</f>
        <v/>
      </c>
      <c r="E108" s="255" t="str">
        <f t="array" ref="E108">IFERROR(VLOOKUP($H$2,IF(DATAKBS[NO]=LAMPIRAN!A108,DATAKBS[[TANGGAL]:[TARRA]],0),3,FALSE),"")</f>
        <v/>
      </c>
      <c r="F108" s="263" t="str">
        <f t="array" ref="F108">IFERROR(VLOOKUP($H$2,IF(DATAKBS[NO]=LAMPIRAN!A108,DATAKBS[[TANGGAL]:[TARRA]],0),4,FALSE),"")</f>
        <v/>
      </c>
      <c r="G108" s="263" t="str">
        <f t="array" ref="G108">IFERROR(VLOOKUP($H$2,IF(DATAKBS[NO]=LAMPIRAN!A108,DATAKBS[[TANGGAL]:[TARRA]],0),5,FALSE),"")</f>
        <v/>
      </c>
      <c r="H108" s="264" t="str">
        <f t="array" ref="H108">IFERROR(VLOOKUP($H$2,IF(DATAKBS[NO]=LAMPIRAN!A108,DATAKBS[[TANGGAL]:[TARRA]],0),6,FALSE),"")</f>
        <v/>
      </c>
      <c r="I108" s="264" t="str">
        <f t="array" ref="I108">IFERROR(VLOOKUP($H$2,IF(DATAKBS[NO]=LAMPIRAN!A108,DATAKBS[[TANGGAL]:[TARRA]],0),7,FALSE),"")</f>
        <v/>
      </c>
      <c r="J108" s="264">
        <f t="shared" si="11"/>
        <v>0</v>
      </c>
      <c r="L108" s="216" t="str">
        <f t="shared" si="10"/>
        <v/>
      </c>
    </row>
    <row r="109" spans="1:12" s="34" customFormat="1" ht="20.100000000000001" hidden="1" customHeight="1">
      <c r="A109" s="34">
        <f t="shared" si="9"/>
        <v>17</v>
      </c>
      <c r="D109" s="262" t="str">
        <f t="array" ref="D109">IFERROR(VLOOKUP($H$2,IF(DATAKBS[NO]=LAMPIRAN!A109,DATAKBS[[TANGGAL]:[TARRA]],0),2,FALSE),"")</f>
        <v/>
      </c>
      <c r="E109" s="255" t="str">
        <f t="array" ref="E109">IFERROR(VLOOKUP($H$2,IF(DATAKBS[NO]=LAMPIRAN!A109,DATAKBS[[TANGGAL]:[TARRA]],0),3,FALSE),"")</f>
        <v/>
      </c>
      <c r="F109" s="263" t="str">
        <f t="array" ref="F109">IFERROR(VLOOKUP($H$2,IF(DATAKBS[NO]=LAMPIRAN!A109,DATAKBS[[TANGGAL]:[TARRA]],0),4,FALSE),"")</f>
        <v/>
      </c>
      <c r="G109" s="263" t="str">
        <f t="array" ref="G109">IFERROR(VLOOKUP($H$2,IF(DATAKBS[NO]=LAMPIRAN!A109,DATAKBS[[TANGGAL]:[TARRA]],0),5,FALSE),"")</f>
        <v/>
      </c>
      <c r="H109" s="264" t="str">
        <f t="array" ref="H109">IFERROR(VLOOKUP($H$2,IF(DATAKBS[NO]=LAMPIRAN!A109,DATAKBS[[TANGGAL]:[TARRA]],0),6,FALSE),"")</f>
        <v/>
      </c>
      <c r="I109" s="264" t="str">
        <f t="array" ref="I109">IFERROR(VLOOKUP($H$2,IF(DATAKBS[NO]=LAMPIRAN!A109,DATAKBS[[TANGGAL]:[TARRA]],0),7,FALSE),"")</f>
        <v/>
      </c>
      <c r="J109" s="264">
        <f t="shared" si="11"/>
        <v>0</v>
      </c>
      <c r="L109" s="216" t="str">
        <f t="shared" si="10"/>
        <v/>
      </c>
    </row>
    <row r="110" spans="1:12" s="34" customFormat="1" ht="20.100000000000001" hidden="1" customHeight="1">
      <c r="A110" s="34">
        <f t="shared" si="9"/>
        <v>18</v>
      </c>
      <c r="D110" s="262" t="str">
        <f t="array" ref="D110">IFERROR(VLOOKUP($H$2,IF(DATAKBS[NO]=LAMPIRAN!A110,DATAKBS[[TANGGAL]:[TARRA]],0),2,FALSE),"")</f>
        <v/>
      </c>
      <c r="E110" s="255" t="str">
        <f t="array" ref="E110">IFERROR(VLOOKUP($H$2,IF(DATAKBS[NO]=LAMPIRAN!A110,DATAKBS[[TANGGAL]:[TARRA]],0),3,FALSE),"")</f>
        <v/>
      </c>
      <c r="F110" s="263" t="str">
        <f t="array" ref="F110">IFERROR(VLOOKUP($H$2,IF(DATAKBS[NO]=LAMPIRAN!A110,DATAKBS[[TANGGAL]:[TARRA]],0),4,FALSE),"")</f>
        <v/>
      </c>
      <c r="G110" s="263" t="str">
        <f t="array" ref="G110">IFERROR(VLOOKUP($H$2,IF(DATAKBS[NO]=LAMPIRAN!A110,DATAKBS[[TANGGAL]:[TARRA]],0),5,FALSE),"")</f>
        <v/>
      </c>
      <c r="H110" s="264" t="str">
        <f t="array" ref="H110">IFERROR(VLOOKUP($H$2,IF(DATAKBS[NO]=LAMPIRAN!A110,DATAKBS[[TANGGAL]:[TARRA]],0),6,FALSE),"")</f>
        <v/>
      </c>
      <c r="I110" s="264" t="str">
        <f t="array" ref="I110">IFERROR(VLOOKUP($H$2,IF(DATAKBS[NO]=LAMPIRAN!A110,DATAKBS[[TANGGAL]:[TARRA]],0),7,FALSE),"")</f>
        <v/>
      </c>
      <c r="J110" s="264">
        <f t="shared" si="11"/>
        <v>0</v>
      </c>
      <c r="L110" s="216" t="str">
        <f t="shared" si="10"/>
        <v/>
      </c>
    </row>
    <row r="111" spans="1:12" s="34" customFormat="1" ht="20.100000000000001" hidden="1" customHeight="1">
      <c r="A111" s="34">
        <f t="shared" si="9"/>
        <v>19</v>
      </c>
      <c r="D111" s="262" t="str">
        <f t="array" ref="D111">IFERROR(VLOOKUP($H$2,IF(DATAKBS[NO]=LAMPIRAN!A111,DATAKBS[[TANGGAL]:[TARRA]],0),2,FALSE),"")</f>
        <v/>
      </c>
      <c r="E111" s="255" t="str">
        <f t="array" ref="E111">IFERROR(VLOOKUP($H$2,IF(DATAKBS[NO]=LAMPIRAN!A111,DATAKBS[[TANGGAL]:[TARRA]],0),3,FALSE),"")</f>
        <v/>
      </c>
      <c r="F111" s="263" t="str">
        <f t="array" ref="F111">IFERROR(VLOOKUP($H$2,IF(DATAKBS[NO]=LAMPIRAN!A111,DATAKBS[[TANGGAL]:[TARRA]],0),4,FALSE),"")</f>
        <v/>
      </c>
      <c r="G111" s="263" t="str">
        <f t="array" ref="G111">IFERROR(VLOOKUP($H$2,IF(DATAKBS[NO]=LAMPIRAN!A111,DATAKBS[[TANGGAL]:[TARRA]],0),5,FALSE),"")</f>
        <v/>
      </c>
      <c r="H111" s="264" t="str">
        <f t="array" ref="H111">IFERROR(VLOOKUP($H$2,IF(DATAKBS[NO]=LAMPIRAN!A111,DATAKBS[[TANGGAL]:[TARRA]],0),6,FALSE),"")</f>
        <v/>
      </c>
      <c r="I111" s="264" t="str">
        <f t="array" ref="I111">IFERROR(VLOOKUP($H$2,IF(DATAKBS[NO]=LAMPIRAN!A111,DATAKBS[[TANGGAL]:[TARRA]],0),7,FALSE),"")</f>
        <v/>
      </c>
      <c r="J111" s="264">
        <f t="shared" si="11"/>
        <v>0</v>
      </c>
      <c r="L111" s="216" t="str">
        <f t="shared" si="10"/>
        <v/>
      </c>
    </row>
    <row r="112" spans="1:12" s="34" customFormat="1" ht="20.100000000000001" hidden="1" customHeight="1">
      <c r="A112" s="34">
        <f t="shared" si="9"/>
        <v>20</v>
      </c>
      <c r="D112" s="262" t="str">
        <f t="array" ref="D112">IFERROR(VLOOKUP($H$2,IF(DATAKBS[NO]=LAMPIRAN!A112,DATAKBS[[TANGGAL]:[TARRA]],0),2,FALSE),"")</f>
        <v/>
      </c>
      <c r="E112" s="255" t="str">
        <f t="array" ref="E112">IFERROR(VLOOKUP($H$2,IF(DATAKBS[NO]=LAMPIRAN!A112,DATAKBS[[TANGGAL]:[TARRA]],0),3,FALSE),"")</f>
        <v/>
      </c>
      <c r="F112" s="263" t="str">
        <f t="array" ref="F112">IFERROR(VLOOKUP($H$2,IF(DATAKBS[NO]=LAMPIRAN!A112,DATAKBS[[TANGGAL]:[TARRA]],0),4,FALSE),"")</f>
        <v/>
      </c>
      <c r="G112" s="263" t="str">
        <f t="array" ref="G112">IFERROR(VLOOKUP($H$2,IF(DATAKBS[NO]=LAMPIRAN!A112,DATAKBS[[TANGGAL]:[TARRA]],0),5,FALSE),"")</f>
        <v/>
      </c>
      <c r="H112" s="264" t="str">
        <f t="array" ref="H112">IFERROR(VLOOKUP($H$2,IF(DATAKBS[NO]=LAMPIRAN!A112,DATAKBS[[TANGGAL]:[TARRA]],0),6,FALSE),"")</f>
        <v/>
      </c>
      <c r="I112" s="264" t="str">
        <f t="array" ref="I112">IFERROR(VLOOKUP($H$2,IF(DATAKBS[NO]=LAMPIRAN!A112,DATAKBS[[TANGGAL]:[TARRA]],0),7,FALSE),"")</f>
        <v/>
      </c>
      <c r="J112" s="264">
        <f t="shared" si="11"/>
        <v>0</v>
      </c>
      <c r="L112" s="216" t="str">
        <f t="shared" si="10"/>
        <v/>
      </c>
    </row>
    <row r="113" spans="1:12" s="34" customFormat="1" ht="20.100000000000001" hidden="1" customHeight="1">
      <c r="A113" s="34">
        <f t="shared" si="9"/>
        <v>21</v>
      </c>
      <c r="D113" s="262" t="str">
        <f t="array" ref="D113">IFERROR(VLOOKUP($H$2,IF(DATAKBS[NO]=LAMPIRAN!A113,DATAKBS[[TANGGAL]:[TARRA]],0),2,FALSE),"")</f>
        <v/>
      </c>
      <c r="E113" s="255" t="str">
        <f t="array" ref="E113">IFERROR(VLOOKUP($H$2,IF(DATAKBS[NO]=LAMPIRAN!A113,DATAKBS[[TANGGAL]:[TARRA]],0),3,FALSE),"")</f>
        <v/>
      </c>
      <c r="F113" s="263" t="str">
        <f t="array" ref="F113">IFERROR(VLOOKUP($H$2,IF(DATAKBS[NO]=LAMPIRAN!A113,DATAKBS[[TANGGAL]:[TARRA]],0),4,FALSE),"")</f>
        <v/>
      </c>
      <c r="G113" s="263" t="str">
        <f t="array" ref="G113">IFERROR(VLOOKUP($H$2,IF(DATAKBS[NO]=LAMPIRAN!A113,DATAKBS[[TANGGAL]:[TARRA]],0),5,FALSE),"")</f>
        <v/>
      </c>
      <c r="H113" s="264" t="str">
        <f t="array" ref="H113">IFERROR(VLOOKUP($H$2,IF(DATAKBS[NO]=LAMPIRAN!A113,DATAKBS[[TANGGAL]:[TARRA]],0),6,FALSE),"")</f>
        <v/>
      </c>
      <c r="I113" s="264" t="str">
        <f t="array" ref="I113">IFERROR(VLOOKUP($H$2,IF(DATAKBS[NO]=LAMPIRAN!A113,DATAKBS[[TANGGAL]:[TARRA]],0),7,FALSE),"")</f>
        <v/>
      </c>
      <c r="J113" s="264">
        <f t="shared" si="11"/>
        <v>0</v>
      </c>
      <c r="L113" s="216" t="str">
        <f t="shared" si="10"/>
        <v/>
      </c>
    </row>
    <row r="114" spans="1:12" s="34" customFormat="1" ht="20.100000000000001" hidden="1" customHeight="1">
      <c r="A114" s="34">
        <f t="shared" si="9"/>
        <v>22</v>
      </c>
      <c r="D114" s="262" t="str">
        <f t="array" ref="D114">IFERROR(VLOOKUP($H$2,IF(DATAKBS[NO]=LAMPIRAN!A114,DATAKBS[[TANGGAL]:[TARRA]],0),2,FALSE),"")</f>
        <v/>
      </c>
      <c r="E114" s="255" t="str">
        <f t="array" ref="E114">IFERROR(VLOOKUP($H$2,IF(DATAKBS[NO]=LAMPIRAN!A114,DATAKBS[[TANGGAL]:[TARRA]],0),3,FALSE),"")</f>
        <v/>
      </c>
      <c r="F114" s="263" t="str">
        <f t="array" ref="F114">IFERROR(VLOOKUP($H$2,IF(DATAKBS[NO]=LAMPIRAN!A114,DATAKBS[[TANGGAL]:[TARRA]],0),4,FALSE),"")</f>
        <v/>
      </c>
      <c r="G114" s="263" t="str">
        <f t="array" ref="G114">IFERROR(VLOOKUP($H$2,IF(DATAKBS[NO]=LAMPIRAN!A114,DATAKBS[[TANGGAL]:[TARRA]],0),5,FALSE),"")</f>
        <v/>
      </c>
      <c r="H114" s="264" t="str">
        <f t="array" ref="H114">IFERROR(VLOOKUP($H$2,IF(DATAKBS[NO]=LAMPIRAN!A114,DATAKBS[[TANGGAL]:[TARRA]],0),6,FALSE),"")</f>
        <v/>
      </c>
      <c r="I114" s="264" t="str">
        <f t="array" ref="I114">IFERROR(VLOOKUP($H$2,IF(DATAKBS[NO]=LAMPIRAN!A114,DATAKBS[[TANGGAL]:[TARRA]],0),7,FALSE),"")</f>
        <v/>
      </c>
      <c r="J114" s="264">
        <f t="shared" si="11"/>
        <v>0</v>
      </c>
      <c r="L114" s="216" t="str">
        <f t="shared" si="10"/>
        <v/>
      </c>
    </row>
    <row r="115" spans="1:12" s="34" customFormat="1" ht="20.100000000000001" hidden="1" customHeight="1">
      <c r="A115" s="34">
        <f t="shared" si="9"/>
        <v>23</v>
      </c>
      <c r="D115" s="262" t="str">
        <f t="array" ref="D115">IFERROR(VLOOKUP($H$2,IF(DATAKBS[NO]=LAMPIRAN!A115,DATAKBS[[TANGGAL]:[TARRA]],0),2,FALSE),"")</f>
        <v/>
      </c>
      <c r="E115" s="255" t="str">
        <f t="array" ref="E115">IFERROR(VLOOKUP($H$2,IF(DATAKBS[NO]=LAMPIRAN!A115,DATAKBS[[TANGGAL]:[TARRA]],0),3,FALSE),"")</f>
        <v/>
      </c>
      <c r="F115" s="263" t="str">
        <f t="array" ref="F115">IFERROR(VLOOKUP($H$2,IF(DATAKBS[NO]=LAMPIRAN!A115,DATAKBS[[TANGGAL]:[TARRA]],0),4,FALSE),"")</f>
        <v/>
      </c>
      <c r="G115" s="263" t="str">
        <f t="array" ref="G115">IFERROR(VLOOKUP($H$2,IF(DATAKBS[NO]=LAMPIRAN!A115,DATAKBS[[TANGGAL]:[TARRA]],0),5,FALSE),"")</f>
        <v/>
      </c>
      <c r="H115" s="264" t="str">
        <f t="array" ref="H115">IFERROR(VLOOKUP($H$2,IF(DATAKBS[NO]=LAMPIRAN!A115,DATAKBS[[TANGGAL]:[TARRA]],0),6,FALSE),"")</f>
        <v/>
      </c>
      <c r="I115" s="264" t="str">
        <f t="array" ref="I115">IFERROR(VLOOKUP($H$2,IF(DATAKBS[NO]=LAMPIRAN!A115,DATAKBS[[TANGGAL]:[TARRA]],0),7,FALSE),"")</f>
        <v/>
      </c>
      <c r="J115" s="264">
        <f t="shared" si="11"/>
        <v>0</v>
      </c>
      <c r="L115" s="216" t="str">
        <f t="shared" si="10"/>
        <v/>
      </c>
    </row>
    <row r="116" spans="1:12" s="34" customFormat="1" ht="20.100000000000001" hidden="1" customHeight="1">
      <c r="A116" s="34">
        <f t="shared" si="9"/>
        <v>24</v>
      </c>
      <c r="D116" s="262" t="str">
        <f t="array" ref="D116">IFERROR(VLOOKUP($H$2,IF(DATAKBS[NO]=LAMPIRAN!A116,DATAKBS[[TANGGAL]:[TARRA]],0),2,FALSE),"")</f>
        <v/>
      </c>
      <c r="E116" s="255" t="str">
        <f t="array" ref="E116">IFERROR(VLOOKUP($H$2,IF(DATAKBS[NO]=LAMPIRAN!A116,DATAKBS[[TANGGAL]:[TARRA]],0),3,FALSE),"")</f>
        <v/>
      </c>
      <c r="F116" s="263" t="str">
        <f t="array" ref="F116">IFERROR(VLOOKUP($H$2,IF(DATAKBS[NO]=LAMPIRAN!A116,DATAKBS[[TANGGAL]:[TARRA]],0),4,FALSE),"")</f>
        <v/>
      </c>
      <c r="G116" s="263" t="str">
        <f t="array" ref="G116">IFERROR(VLOOKUP($H$2,IF(DATAKBS[NO]=LAMPIRAN!A116,DATAKBS[[TANGGAL]:[TARRA]],0),5,FALSE),"")</f>
        <v/>
      </c>
      <c r="H116" s="264" t="str">
        <f t="array" ref="H116">IFERROR(VLOOKUP($H$2,IF(DATAKBS[NO]=LAMPIRAN!A116,DATAKBS[[TANGGAL]:[TARRA]],0),6,FALSE),"")</f>
        <v/>
      </c>
      <c r="I116" s="264" t="str">
        <f t="array" ref="I116">IFERROR(VLOOKUP($H$2,IF(DATAKBS[NO]=LAMPIRAN!A116,DATAKBS[[TANGGAL]:[TARRA]],0),7,FALSE),"")</f>
        <v/>
      </c>
      <c r="J116" s="264">
        <f t="shared" si="11"/>
        <v>0</v>
      </c>
      <c r="L116" s="216" t="str">
        <f t="shared" si="10"/>
        <v/>
      </c>
    </row>
    <row r="117" spans="1:12" s="34" customFormat="1" ht="20.100000000000001" hidden="1" customHeight="1">
      <c r="A117" s="34">
        <f t="shared" si="9"/>
        <v>25</v>
      </c>
      <c r="D117" s="262" t="str">
        <f t="array" ref="D117">IFERROR(VLOOKUP($H$2,IF(DATAKBS[NO]=LAMPIRAN!A117,DATAKBS[[TANGGAL]:[TARRA]],0),2,FALSE),"")</f>
        <v/>
      </c>
      <c r="E117" s="255" t="str">
        <f t="array" ref="E117">IFERROR(VLOOKUP($H$2,IF(DATAKBS[NO]=LAMPIRAN!A117,DATAKBS[[TANGGAL]:[TARRA]],0),3,FALSE),"")</f>
        <v/>
      </c>
      <c r="F117" s="263" t="str">
        <f t="array" ref="F117">IFERROR(VLOOKUP($H$2,IF(DATAKBS[NO]=LAMPIRAN!A117,DATAKBS[[TANGGAL]:[TARRA]],0),4,FALSE),"")</f>
        <v/>
      </c>
      <c r="G117" s="263" t="str">
        <f t="array" ref="G117">IFERROR(VLOOKUP($H$2,IF(DATAKBS[NO]=LAMPIRAN!A117,DATAKBS[[TANGGAL]:[TARRA]],0),5,FALSE),"")</f>
        <v/>
      </c>
      <c r="H117" s="264" t="str">
        <f t="array" ref="H117">IFERROR(VLOOKUP($H$2,IF(DATAKBS[NO]=LAMPIRAN!A117,DATAKBS[[TANGGAL]:[TARRA]],0),6,FALSE),"")</f>
        <v/>
      </c>
      <c r="I117" s="264" t="str">
        <f t="array" ref="I117">IFERROR(VLOOKUP($H$2,IF(DATAKBS[NO]=LAMPIRAN!A117,DATAKBS[[TANGGAL]:[TARRA]],0),7,FALSE),"")</f>
        <v/>
      </c>
      <c r="J117" s="264">
        <f t="shared" si="11"/>
        <v>0</v>
      </c>
      <c r="L117" s="216" t="str">
        <f t="shared" si="10"/>
        <v/>
      </c>
    </row>
    <row r="118" spans="1:12" s="34" customFormat="1" ht="5.0999999999999996" customHeight="1" thickBot="1">
      <c r="D118" s="101"/>
      <c r="E118" s="102"/>
      <c r="F118" s="103"/>
      <c r="G118" s="104"/>
      <c r="H118" s="105"/>
      <c r="I118" s="105"/>
      <c r="J118" s="105"/>
      <c r="L118" s="216" t="s">
        <v>199</v>
      </c>
    </row>
    <row r="119" spans="1:12" s="34" customFormat="1" ht="21.95" customHeight="1" thickTop="1">
      <c r="D119" s="161"/>
      <c r="E119" s="22"/>
      <c r="F119" s="304" t="s">
        <v>66</v>
      </c>
      <c r="G119" s="304">
        <f>SUM(G93:G118)</f>
        <v>0</v>
      </c>
      <c r="H119" s="305">
        <f>SUM(H93:H118)</f>
        <v>0</v>
      </c>
      <c r="I119" s="305">
        <f>SUM(I93:I118)</f>
        <v>0</v>
      </c>
      <c r="J119" s="305">
        <f>SUM(J93:J118)</f>
        <v>0</v>
      </c>
      <c r="L119" s="216" t="s">
        <v>199</v>
      </c>
    </row>
    <row r="120" spans="1:12" s="34" customFormat="1" ht="21.95" customHeight="1">
      <c r="D120" s="35"/>
      <c r="E120" s="22"/>
      <c r="F120" s="307" t="s">
        <v>67</v>
      </c>
      <c r="G120" s="307">
        <f>SUMIFS(DATAKBS[TN],DATAKBS[TANGGAL],"&lt;="&amp;DATE(YEAR($H$2),MONTH($H$2),DAY($H$2)),DATAKBS[TANGGAL],"&gt;="&amp;DATE(YEAR($H$2),MONTH($H$2),1))</f>
        <v>0</v>
      </c>
      <c r="H120" s="236">
        <f>SUMIFS(DATAKBS[BRUTO],DATAKBS[TANGGAL],"&lt;="&amp;DATE(YEAR($H$2),MONTH($H$2),DAY($H$2)),DATAKBS[TANGGAL],"&gt;="&amp;DATE(YEAR($H$2),MONTH($H$2),1))</f>
        <v>0</v>
      </c>
      <c r="I120" s="236">
        <f>SUMIFS(DATAKBS[TARRA],DATAKBS[TANGGAL],"&lt;="&amp;DATE(YEAR($H$2),MONTH($H$2),DAY($H$2)),DATAKBS[TANGGAL],"&gt;="&amp;DATE(YEAR($H$2),MONTH($H$2),1))</f>
        <v>0</v>
      </c>
      <c r="J120" s="236">
        <f>SUMIFS(DATAKBS[NETTO],DATAKBS[TANGGAL],"&lt;="&amp;DATE(YEAR($H$2),MONTH($H$2),DAY($H$2)),DATAKBS[TANGGAL],"&gt;="&amp;DATE(YEAR($H$2),MONTH($H$2),1))</f>
        <v>0</v>
      </c>
      <c r="L120" s="216" t="s">
        <v>199</v>
      </c>
    </row>
    <row r="121" spans="1:12" s="34" customFormat="1" ht="21.95" hidden="1" customHeight="1">
      <c r="D121" s="35"/>
      <c r="E121" s="22"/>
      <c r="F121" s="302"/>
      <c r="G121" s="302"/>
      <c r="H121" s="303"/>
      <c r="I121" s="303"/>
      <c r="J121" s="303"/>
      <c r="L121" s="216"/>
    </row>
    <row r="122" spans="1:12" s="34" customFormat="1" ht="35.1" hidden="1" customHeight="1">
      <c r="D122" s="35"/>
      <c r="E122" s="22"/>
      <c r="F122" s="617" t="s">
        <v>246</v>
      </c>
      <c r="G122" s="618"/>
      <c r="H122" s="301">
        <f t="shared" ref="H122:J123" si="12">SUM(H119,H84,H57)</f>
        <v>0</v>
      </c>
      <c r="I122" s="301">
        <f t="shared" si="12"/>
        <v>0</v>
      </c>
      <c r="J122" s="301">
        <f t="shared" si="12"/>
        <v>0</v>
      </c>
      <c r="L122" s="216"/>
    </row>
    <row r="123" spans="1:12" s="34" customFormat="1" ht="35.1" hidden="1" customHeight="1">
      <c r="D123" s="35"/>
      <c r="E123" s="22"/>
      <c r="F123" s="617" t="s">
        <v>229</v>
      </c>
      <c r="G123" s="618"/>
      <c r="H123" s="301">
        <f t="shared" si="12"/>
        <v>3380370</v>
      </c>
      <c r="I123" s="301">
        <f t="shared" si="12"/>
        <v>1500120</v>
      </c>
      <c r="J123" s="301">
        <f t="shared" ca="1" si="12"/>
        <v>1880250</v>
      </c>
      <c r="L123" s="216"/>
    </row>
    <row r="124" spans="1:12" s="34" customFormat="1" ht="15" customHeight="1">
      <c r="D124" s="35"/>
      <c r="E124" s="22"/>
      <c r="F124" s="37"/>
      <c r="G124" s="37"/>
      <c r="H124" s="37"/>
      <c r="I124" s="37"/>
      <c r="J124" s="37"/>
      <c r="L124" s="216" t="s">
        <v>199</v>
      </c>
    </row>
    <row r="125" spans="1:12" s="34" customFormat="1" ht="18" customHeight="1">
      <c r="D125" s="35"/>
      <c r="E125" s="22"/>
      <c r="F125" s="39"/>
      <c r="G125" s="40" t="s">
        <v>66</v>
      </c>
      <c r="H125" s="25" t="s">
        <v>55</v>
      </c>
      <c r="I125" s="25" t="s">
        <v>56</v>
      </c>
      <c r="J125" s="25" t="s">
        <v>57</v>
      </c>
      <c r="L125" s="216" t="s">
        <v>199</v>
      </c>
    </row>
    <row r="126" spans="1:12" s="34" customFormat="1" ht="18" customHeight="1">
      <c r="D126" s="35"/>
      <c r="E126" s="22"/>
      <c r="F126" s="41"/>
      <c r="G126" s="42" t="s">
        <v>69</v>
      </c>
      <c r="H126" s="43" t="s">
        <v>62</v>
      </c>
      <c r="I126" s="43" t="s">
        <v>63</v>
      </c>
      <c r="J126" s="43" t="s">
        <v>64</v>
      </c>
      <c r="L126" s="216" t="s">
        <v>199</v>
      </c>
    </row>
    <row r="127" spans="1:12" s="34" customFormat="1" ht="21.75" customHeight="1">
      <c r="D127" s="35"/>
      <c r="E127" s="295" t="s">
        <v>70</v>
      </c>
      <c r="F127" s="296"/>
      <c r="G127" s="242">
        <f>SUMIFS(G6:G55,$B$6:$B$55,"DARAT")</f>
        <v>0</v>
      </c>
      <c r="H127" s="167">
        <f>SUMIFS(H6:H55,$B$6:$B$55,"DARAT")</f>
        <v>0</v>
      </c>
      <c r="I127" s="167">
        <f>SUMIFS(I6:I55,$B$6:$B$55,"DARAT")</f>
        <v>0</v>
      </c>
      <c r="J127" s="167">
        <f>SUMIFS(J6:J55,$B$6:$B$55,"DARAT")</f>
        <v>0</v>
      </c>
      <c r="L127" s="216" t="s">
        <v>199</v>
      </c>
    </row>
    <row r="128" spans="1:12" s="34" customFormat="1" ht="21.75" customHeight="1">
      <c r="D128" s="35"/>
      <c r="E128" s="297" t="s">
        <v>71</v>
      </c>
      <c r="F128" s="298"/>
      <c r="G128" s="243">
        <f>SUMIFS(G6:G55,$B$6:$B$55,"SUNGAI")</f>
        <v>0</v>
      </c>
      <c r="H128" s="168">
        <f>SUMIFS(H6:H55,$B$6:$B$55,"SUNGAI")</f>
        <v>0</v>
      </c>
      <c r="I128" s="168">
        <f>SUMIFS(I6:I55,$B$6:$B$55,"SUNGAI")</f>
        <v>0</v>
      </c>
      <c r="J128" s="168">
        <f>SUMIFS(J6:J55,$B$6:$B$55,"SUNGAI")</f>
        <v>0</v>
      </c>
      <c r="L128" s="216" t="s">
        <v>199</v>
      </c>
    </row>
    <row r="129" spans="4:12" s="34" customFormat="1" ht="21.75" customHeight="1">
      <c r="D129" s="35"/>
      <c r="E129" s="297" t="s">
        <v>240</v>
      </c>
      <c r="F129" s="298"/>
      <c r="G129" s="243">
        <f>SUMIFS($G$63:$G$82,$B$63:$B$82,"DARAT")</f>
        <v>0</v>
      </c>
      <c r="H129" s="168">
        <f>SUMIFS($H$63:$H$82,$B$63:$B$82,"DARAT")</f>
        <v>0</v>
      </c>
      <c r="I129" s="168">
        <f>SUMIFS($I$63:$I$82,$B$63:$B$82,"DARAT")</f>
        <v>0</v>
      </c>
      <c r="J129" s="168">
        <f>SUMIFS($J$63:$J$82,$B$63:$B$82,"DARAT")</f>
        <v>0</v>
      </c>
      <c r="L129" s="216" t="s">
        <v>199</v>
      </c>
    </row>
    <row r="130" spans="4:12" s="34" customFormat="1" ht="21.75" customHeight="1">
      <c r="D130" s="35"/>
      <c r="E130" s="297" t="s">
        <v>241</v>
      </c>
      <c r="F130" s="298"/>
      <c r="G130" s="243">
        <f>SUMIFS($G$63:$G$82,$B$63:$B$82,"SUNGAI")</f>
        <v>0</v>
      </c>
      <c r="H130" s="168">
        <f>SUMIFS($H$63:$H$82,$B$63:$B$82,"SUNGAI")</f>
        <v>0</v>
      </c>
      <c r="I130" s="168">
        <f>SUMIFS($I$63:$I$82,$B$63:$B$82,"SUNGAI")</f>
        <v>0</v>
      </c>
      <c r="J130" s="168">
        <f>SUMIFS($J$63:$J$82,$B$63:$B$82,"SUNGAI")</f>
        <v>0</v>
      </c>
      <c r="L130" s="216" t="s">
        <v>199</v>
      </c>
    </row>
    <row r="131" spans="4:12" s="34" customFormat="1" ht="21.75" customHeight="1" thickBot="1">
      <c r="D131" s="35"/>
      <c r="E131" s="297" t="s">
        <v>242</v>
      </c>
      <c r="F131" s="298"/>
      <c r="G131" s="299">
        <f>G119</f>
        <v>0</v>
      </c>
      <c r="H131" s="168">
        <f>H119</f>
        <v>0</v>
      </c>
      <c r="I131" s="168">
        <f>I119</f>
        <v>0</v>
      </c>
      <c r="J131" s="168">
        <f>J119</f>
        <v>0</v>
      </c>
      <c r="L131" s="216" t="s">
        <v>199</v>
      </c>
    </row>
    <row r="132" spans="4:12" s="34" customFormat="1" ht="26.25" customHeight="1" thickTop="1">
      <c r="D132" s="35"/>
      <c r="E132" s="611" t="s">
        <v>243</v>
      </c>
      <c r="F132" s="612"/>
      <c r="G132" s="241">
        <f>SUM(G127:G131)</f>
        <v>0</v>
      </c>
      <c r="H132" s="169">
        <f>SUM(H127:H131)</f>
        <v>0</v>
      </c>
      <c r="I132" s="169">
        <f>SUM(I127:I131)</f>
        <v>0</v>
      </c>
      <c r="J132" s="169">
        <f>SUM(J127:J131)</f>
        <v>0</v>
      </c>
      <c r="L132" s="216" t="s">
        <v>199</v>
      </c>
    </row>
    <row r="133" spans="4:12" s="34" customFormat="1" ht="36" customHeight="1">
      <c r="D133" s="35"/>
      <c r="E133" s="613" t="s">
        <v>244</v>
      </c>
      <c r="F133" s="614"/>
      <c r="G133" s="308">
        <f>SUM(G58,G85,G120)</f>
        <v>394</v>
      </c>
      <c r="H133" s="170">
        <f>SUM(H58,H85,H120)</f>
        <v>3380370</v>
      </c>
      <c r="I133" s="170">
        <f>SUM(I58,I85,I120)</f>
        <v>1500120</v>
      </c>
      <c r="J133" s="170">
        <f ca="1">SUM(J58,J85,J120)</f>
        <v>1880250</v>
      </c>
      <c r="L133" s="216" t="s">
        <v>199</v>
      </c>
    </row>
    <row r="134" spans="4:12" s="34" customFormat="1" ht="18.75" customHeight="1">
      <c r="D134" s="35"/>
      <c r="E134" s="22"/>
      <c r="F134" s="44"/>
      <c r="G134" s="44"/>
      <c r="H134" s="45"/>
      <c r="I134" s="45"/>
      <c r="J134" s="45"/>
    </row>
    <row r="135" spans="4:12" s="34" customFormat="1" ht="18.75" customHeight="1">
      <c r="D135" s="35"/>
      <c r="E135" s="22"/>
      <c r="F135" s="44"/>
      <c r="G135" s="44"/>
      <c r="H135" s="45"/>
      <c r="I135" s="45"/>
      <c r="J135" s="45"/>
    </row>
    <row r="136" spans="4:12" s="34" customFormat="1" ht="18.75" hidden="1" customHeight="1">
      <c r="D136" s="35"/>
      <c r="E136" s="22"/>
      <c r="F136" s="44"/>
      <c r="G136" s="44"/>
      <c r="H136" s="45"/>
      <c r="I136" s="45"/>
      <c r="J136" s="45"/>
    </row>
    <row r="137" spans="4:12" s="34" customFormat="1" ht="18.75" hidden="1" customHeight="1">
      <c r="D137" s="35"/>
      <c r="E137" s="22"/>
      <c r="F137" s="44"/>
      <c r="G137" s="224"/>
      <c r="H137" s="224"/>
      <c r="I137" s="224"/>
      <c r="J137" s="224"/>
    </row>
    <row r="138" spans="4:12" s="34" customFormat="1" ht="18.75" hidden="1" customHeight="1">
      <c r="D138" s="35"/>
      <c r="E138" s="22"/>
      <c r="F138" s="44"/>
      <c r="G138" s="225"/>
      <c r="H138" s="224"/>
      <c r="I138" s="224"/>
      <c r="J138" s="224"/>
    </row>
    <row r="139" spans="4:12" s="34" customFormat="1" ht="18.75" hidden="1" customHeight="1">
      <c r="D139" s="35"/>
      <c r="E139" s="22"/>
      <c r="F139" s="44"/>
      <c r="G139" s="225"/>
      <c r="H139" s="225"/>
      <c r="I139" s="225"/>
      <c r="J139" s="225"/>
    </row>
    <row r="140" spans="4:12" ht="15" hidden="1" customHeight="1">
      <c r="G140" s="221"/>
      <c r="H140" s="221"/>
      <c r="I140" s="221"/>
      <c r="J140" s="221"/>
    </row>
    <row r="141" spans="4:12" ht="15" hidden="1" customHeight="1">
      <c r="G141" s="221"/>
      <c r="H141" s="221"/>
      <c r="I141" s="221"/>
      <c r="J141" s="221"/>
    </row>
    <row r="142" spans="4:12" ht="15" hidden="1" customHeight="1">
      <c r="G142" s="221"/>
      <c r="H142" s="221"/>
      <c r="I142" s="221"/>
      <c r="J142" s="221"/>
    </row>
    <row r="143" spans="4:12" ht="15" hidden="1" customHeight="1">
      <c r="G143" s="221"/>
      <c r="H143" s="221"/>
      <c r="I143" s="221"/>
      <c r="J143" s="221"/>
    </row>
    <row r="144" spans="4:12" ht="15" hidden="1" customHeight="1">
      <c r="G144" s="221"/>
      <c r="H144" s="221"/>
      <c r="I144" s="221"/>
      <c r="J144" s="221"/>
    </row>
    <row r="145" spans="7:10" ht="15" hidden="1" customHeight="1">
      <c r="G145" s="221"/>
      <c r="H145" s="221"/>
      <c r="I145" s="221"/>
      <c r="J145" s="221"/>
    </row>
    <row r="146" spans="7:10" ht="15" hidden="1" customHeight="1">
      <c r="G146" s="221"/>
      <c r="H146" s="221"/>
      <c r="I146" s="221"/>
      <c r="J146" s="221"/>
    </row>
    <row r="147" spans="7:10" ht="15" hidden="1" customHeight="1">
      <c r="G147" s="221"/>
      <c r="H147" s="221"/>
      <c r="I147" s="221"/>
      <c r="J147" s="221"/>
    </row>
    <row r="148" spans="7:10" ht="15" hidden="1" customHeight="1">
      <c r="G148" s="221"/>
      <c r="H148" s="221"/>
      <c r="I148" s="221"/>
      <c r="J148" s="221"/>
    </row>
  </sheetData>
  <sheetProtection sheet="1" objects="1" scenarios="1" autoFilter="0" pivotTables="0"/>
  <autoFilter ref="L2:L133">
    <filterColumn colId="0">
      <customFilters>
        <customFilter operator="notEqual" val=" "/>
      </customFilters>
    </filterColumn>
  </autoFilter>
  <mergeCells count="9">
    <mergeCell ref="E132:F132"/>
    <mergeCell ref="E133:F133"/>
    <mergeCell ref="F88:G88"/>
    <mergeCell ref="F123:G123"/>
    <mergeCell ref="D3:G3"/>
    <mergeCell ref="D60:G60"/>
    <mergeCell ref="D90:G90"/>
    <mergeCell ref="F87:G87"/>
    <mergeCell ref="F122:G122"/>
  </mergeCells>
  <printOptions horizontalCentered="1"/>
  <pageMargins left="0.118110236220472" right="3.9370078740157501E-2" top="0.10433070899999999" bottom="3.9370078740157501E-2" header="1.92913385826772" footer="0.118110236220472"/>
  <pageSetup paperSize="9" scale="50" orientation="portrait" verticalDpi="180" r:id="rId1"/>
  <headerFooter alignWithMargins="0"/>
  <colBreaks count="1" manualBreakCount="1">
    <brk id="3" max="1048575" man="1"/>
  </col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 filterMode="1">
    <tabColor rgb="FFFFFF00"/>
  </sheetPr>
  <dimension ref="A1:Q149"/>
  <sheetViews>
    <sheetView showWhiteSpace="0" view="pageBreakPreview" zoomScale="70" zoomScaleSheetLayoutView="70" workbookViewId="0">
      <selection activeCell="H85" sqref="H85"/>
    </sheetView>
  </sheetViews>
  <sheetFormatPr defaultColWidth="9.140625" defaultRowHeight="15" customHeight="1"/>
  <cols>
    <col min="1" max="1" width="4.85546875" style="24" customWidth="1"/>
    <col min="2" max="2" width="7.85546875" style="24" customWidth="1"/>
    <col min="3" max="3" width="3.7109375" style="24" customWidth="1"/>
    <col min="4" max="4" width="8" style="47" customWidth="1"/>
    <col min="5" max="5" width="55.140625" style="22" customWidth="1"/>
    <col min="6" max="6" width="13.42578125" style="22" customWidth="1"/>
    <col min="7" max="7" width="11.140625" style="22" customWidth="1"/>
    <col min="8" max="8" width="22.28515625" style="22" bestFit="1" customWidth="1"/>
    <col min="9" max="9" width="21" style="22" customWidth="1"/>
    <col min="10" max="10" width="18.7109375" style="22" customWidth="1"/>
    <col min="11" max="11" width="4" style="24" customWidth="1"/>
    <col min="12" max="12" width="23.85546875" style="24" customWidth="1"/>
    <col min="13" max="17" width="9.140625" style="24" customWidth="1"/>
    <col min="18" max="16384" width="9.140625" style="24"/>
  </cols>
  <sheetData>
    <row r="1" spans="1:12" ht="9.9499999999999993" customHeight="1">
      <c r="H1" s="226"/>
    </row>
    <row r="2" spans="1:12" ht="28.5" customHeight="1">
      <c r="D2" s="386" t="s">
        <v>283</v>
      </c>
      <c r="E2" s="21"/>
      <c r="H2" s="387" t="s">
        <v>53</v>
      </c>
      <c r="I2" s="385">
        <f>'LAPORAN HARIAN'!M3</f>
        <v>43921</v>
      </c>
      <c r="L2" s="219" t="s">
        <v>200</v>
      </c>
    </row>
    <row r="3" spans="1:12" ht="18" customHeight="1">
      <c r="D3" s="619" t="s">
        <v>54</v>
      </c>
      <c r="E3" s="620"/>
      <c r="F3" s="620"/>
      <c r="G3" s="621"/>
      <c r="H3" s="25" t="s">
        <v>55</v>
      </c>
      <c r="I3" s="25" t="s">
        <v>56</v>
      </c>
      <c r="J3" s="25" t="s">
        <v>57</v>
      </c>
      <c r="L3" s="216" t="s">
        <v>199</v>
      </c>
    </row>
    <row r="4" spans="1:12" ht="18" customHeight="1">
      <c r="D4" s="26" t="s">
        <v>58</v>
      </c>
      <c r="E4" s="27" t="s">
        <v>59</v>
      </c>
      <c r="F4" s="28" t="s">
        <v>60</v>
      </c>
      <c r="G4" s="27" t="s">
        <v>61</v>
      </c>
      <c r="H4" s="29" t="s">
        <v>62</v>
      </c>
      <c r="I4" s="29" t="s">
        <v>63</v>
      </c>
      <c r="J4" s="29" t="s">
        <v>64</v>
      </c>
      <c r="L4" s="216" t="s">
        <v>199</v>
      </c>
    </row>
    <row r="5" spans="1:12" ht="18" customHeight="1" thickBot="1">
      <c r="D5" s="30">
        <v>1</v>
      </c>
      <c r="E5" s="31">
        <v>2</v>
      </c>
      <c r="F5" s="30">
        <v>3</v>
      </c>
      <c r="G5" s="32">
        <v>4</v>
      </c>
      <c r="H5" s="33">
        <v>5</v>
      </c>
      <c r="I5" s="33">
        <v>6</v>
      </c>
      <c r="J5" s="33" t="s">
        <v>65</v>
      </c>
      <c r="L5" s="216" t="s">
        <v>199</v>
      </c>
    </row>
    <row r="6" spans="1:12" s="34" customFormat="1" ht="18" customHeight="1" thickTop="1">
      <c r="A6" s="34">
        <v>1</v>
      </c>
      <c r="B6" s="34" t="str">
        <f>IFERROR(IF(FIND("/KM",E6)&gt;0,"SUNGAI"),"DARAT")</f>
        <v>DARAT</v>
      </c>
      <c r="D6" s="246" t="str">
        <f t="array" ref="D6">IFERROR(VLOOKUP($I$2,IF(DATAKBA[NO]='LAMPIRAN-2020'!A6,DATAKBA[[TANGGAL]:[TARRA]],0),2,FALSE),"")</f>
        <v/>
      </c>
      <c r="E6" s="247" t="str">
        <f t="array" ref="E6">IFERROR(VLOOKUP($I$2,IF(DATAKBA[NO]='LAMPIRAN-2020'!A6,DATAKBA[[TANGGAL]:[TARRA]],0),3,FALSE),"NIHIL")</f>
        <v>NIHIL</v>
      </c>
      <c r="F6" s="248" t="str">
        <f t="array" ref="F6">IFERROR(VLOOKUP($I$2,IF(DATAKBA[NO]='LAMPIRAN-2020'!A6,DATAKBA[[TANGGAL]:[TARRA]],0),4,FALSE),"")</f>
        <v/>
      </c>
      <c r="G6" s="249" t="str">
        <f t="array" ref="G6">IFERROR(VLOOKUP($I$2,IF(DATAKBA[NO]='LAMPIRAN-2020'!A6,DATAKBA[[TANGGAL]:[TARRA]],0),5,FALSE),"")</f>
        <v/>
      </c>
      <c r="H6" s="250" t="str">
        <f t="array" ref="H6">IFERROR(VLOOKUP($I$2,IF(DATAKBA[NO]='LAMPIRAN-2020'!A6,DATAKBA[[TANGGAL]:[TARRA]],0),6,FALSE),"")</f>
        <v/>
      </c>
      <c r="I6" s="250" t="str">
        <f t="array" ref="I6">IFERROR(VLOOKUP($I$2,IF(DATAKBA[NO]='LAMPIRAN-2020'!A6,DATAKBA[[TANGGAL]:[TARRA]],0),7,FALSE),"")</f>
        <v/>
      </c>
      <c r="J6" s="250">
        <f t="shared" ref="J6:J55" si="0">IFERROR(H6-I6,0)</f>
        <v>0</v>
      </c>
      <c r="L6" s="216" t="s">
        <v>199</v>
      </c>
    </row>
    <row r="7" spans="1:12" s="34" customFormat="1" ht="18" hidden="1" customHeight="1">
      <c r="A7" s="34">
        <f>+A6+1</f>
        <v>2</v>
      </c>
      <c r="B7" s="34" t="str">
        <f t="shared" ref="B7:B55" si="1">IFERROR(IF(FIND("/KM",E7)&gt;0,"SUNGAI"),"DARAT")</f>
        <v>DARAT</v>
      </c>
      <c r="D7" s="246" t="str">
        <f t="array" ref="D7">IFERROR(VLOOKUP($I$2,IF(DATAKBA[NO]='LAMPIRAN-2020'!A7,DATAKBA[[TANGGAL]:[TARRA]],0),2,FALSE),"")</f>
        <v/>
      </c>
      <c r="E7" s="247" t="str">
        <f t="array" ref="E7">IFERROR(VLOOKUP($I$2,IF(DATAKBA[NO]='LAMPIRAN-2020'!A7,DATAKBA[[TANGGAL]:[TARRA]],0),3,FALSE),"")</f>
        <v/>
      </c>
      <c r="F7" s="248" t="str">
        <f t="array" ref="F7">IFERROR(VLOOKUP($I$2,IF(DATAKBA[NO]='LAMPIRAN-2020'!A7,DATAKBA[[TANGGAL]:[TARRA]],0),4,FALSE),"")</f>
        <v/>
      </c>
      <c r="G7" s="249" t="str">
        <f t="array" ref="G7">IFERROR(VLOOKUP($I$2,IF(DATAKBA[NO]='LAMPIRAN-2020'!A7,DATAKBA[[TANGGAL]:[TARRA]],0),5,FALSE),"")</f>
        <v/>
      </c>
      <c r="H7" s="251" t="str">
        <f t="array" ref="H7">IFERROR(VLOOKUP($I$2,IF(DATAKBA[NO]='LAMPIRAN-2020'!A7,DATAKBA[[TANGGAL]:[TARRA]],0),6,FALSE),"")</f>
        <v/>
      </c>
      <c r="I7" s="251" t="str">
        <f t="array" ref="I7">IFERROR(VLOOKUP($I$2,IF(DATAKBA[NO]='LAMPIRAN-2020'!A7,DATAKBA[[TANGGAL]:[TARRA]],0),7,FALSE),"")</f>
        <v/>
      </c>
      <c r="J7" s="251">
        <f t="shared" si="0"/>
        <v>0</v>
      </c>
      <c r="L7" s="216" t="str">
        <f t="shared" ref="L7:L55" si="2">IF(J7=0,"","Ok")</f>
        <v/>
      </c>
    </row>
    <row r="8" spans="1:12" s="34" customFormat="1" ht="18" hidden="1" customHeight="1">
      <c r="A8" s="34">
        <f t="shared" ref="A8:A55" si="3">+A7+1</f>
        <v>3</v>
      </c>
      <c r="B8" s="34" t="str">
        <f t="shared" si="1"/>
        <v>DARAT</v>
      </c>
      <c r="D8" s="246" t="str">
        <f t="array" ref="D8">IFERROR(VLOOKUP($I$2,IF(DATAKBA[NO]='LAMPIRAN-2020'!A8,DATAKBA[[TANGGAL]:[TARRA]],0),2,FALSE),"")</f>
        <v/>
      </c>
      <c r="E8" s="247" t="str">
        <f t="array" ref="E8">IFERROR(VLOOKUP($I$2,IF(DATAKBA[NO]='LAMPIRAN-2020'!A8,DATAKBA[[TANGGAL]:[TARRA]],0),3,FALSE),"")</f>
        <v/>
      </c>
      <c r="F8" s="248" t="str">
        <f t="array" ref="F8">IFERROR(VLOOKUP($I$2,IF(DATAKBA[NO]='LAMPIRAN-2020'!A8,DATAKBA[[TANGGAL]:[TARRA]],0),4,FALSE),"")</f>
        <v/>
      </c>
      <c r="G8" s="249" t="str">
        <f t="array" ref="G8">IFERROR(VLOOKUP($I$2,IF(DATAKBA[NO]='LAMPIRAN-2020'!A8,DATAKBA[[TANGGAL]:[TARRA]],0),5,FALSE),"")</f>
        <v/>
      </c>
      <c r="H8" s="251" t="str">
        <f t="array" ref="H8">IFERROR(VLOOKUP($I$2,IF(DATAKBA[NO]='LAMPIRAN-2020'!A8,DATAKBA[[TANGGAL]:[TARRA]],0),6,FALSE),"")</f>
        <v/>
      </c>
      <c r="I8" s="251" t="str">
        <f t="array" ref="I8">IFERROR(VLOOKUP($I$2,IF(DATAKBA[NO]='LAMPIRAN-2020'!A8,DATAKBA[[TANGGAL]:[TARRA]],0),7,FALSE),"")</f>
        <v/>
      </c>
      <c r="J8" s="251">
        <f t="shared" si="0"/>
        <v>0</v>
      </c>
      <c r="L8" s="216" t="str">
        <f t="shared" si="2"/>
        <v/>
      </c>
    </row>
    <row r="9" spans="1:12" s="34" customFormat="1" ht="18" hidden="1" customHeight="1">
      <c r="A9" s="34">
        <f t="shared" si="3"/>
        <v>4</v>
      </c>
      <c r="B9" s="34" t="str">
        <f t="shared" si="1"/>
        <v>DARAT</v>
      </c>
      <c r="D9" s="246" t="str">
        <f t="array" ref="D9">IFERROR(VLOOKUP($I$2,IF(DATAKBA[NO]='LAMPIRAN-2020'!A9,DATAKBA[[TANGGAL]:[TARRA]],0),2,FALSE),"")</f>
        <v/>
      </c>
      <c r="E9" s="247" t="str">
        <f t="array" ref="E9">IFERROR(VLOOKUP($I$2,IF(DATAKBA[NO]='LAMPIRAN-2020'!A9,DATAKBA[[TANGGAL]:[TARRA]],0),3,FALSE),"")</f>
        <v/>
      </c>
      <c r="F9" s="248" t="str">
        <f t="array" ref="F9">IFERROR(VLOOKUP($I$2,IF(DATAKBA[NO]='LAMPIRAN-2020'!A9,DATAKBA[[TANGGAL]:[TARRA]],0),4,FALSE),"")</f>
        <v/>
      </c>
      <c r="G9" s="249" t="str">
        <f t="array" ref="G9">IFERROR(VLOOKUP($I$2,IF(DATAKBA[NO]='LAMPIRAN-2020'!A9,DATAKBA[[TANGGAL]:[TARRA]],0),5,FALSE),"")</f>
        <v/>
      </c>
      <c r="H9" s="251" t="str">
        <f t="array" ref="H9">IFERROR(VLOOKUP($I$2,IF(DATAKBA[NO]='LAMPIRAN-2020'!A9,DATAKBA[[TANGGAL]:[TARRA]],0),6,FALSE),"")</f>
        <v/>
      </c>
      <c r="I9" s="251" t="str">
        <f t="array" ref="I9">IFERROR(VLOOKUP($I$2,IF(DATAKBA[NO]='LAMPIRAN-2020'!A9,DATAKBA[[TANGGAL]:[TARRA]],0),7,FALSE),"")</f>
        <v/>
      </c>
      <c r="J9" s="251">
        <f t="shared" si="0"/>
        <v>0</v>
      </c>
      <c r="L9" s="216" t="str">
        <f t="shared" si="2"/>
        <v/>
      </c>
    </row>
    <row r="10" spans="1:12" s="34" customFormat="1" ht="18" hidden="1" customHeight="1">
      <c r="A10" s="34">
        <f t="shared" si="3"/>
        <v>5</v>
      </c>
      <c r="B10" s="34" t="str">
        <f t="shared" si="1"/>
        <v>DARAT</v>
      </c>
      <c r="D10" s="246" t="str">
        <f t="array" ref="D10">IFERROR(VLOOKUP($I$2,IF(DATAKBA[NO]='LAMPIRAN-2020'!A10,DATAKBA[[TANGGAL]:[TARRA]],0),2,FALSE),"")</f>
        <v/>
      </c>
      <c r="E10" s="247" t="str">
        <f t="array" ref="E10">IFERROR(VLOOKUP($I$2,IF(DATAKBA[NO]='LAMPIRAN-2020'!A10,DATAKBA[[TANGGAL]:[TARRA]],0),3,FALSE),"")</f>
        <v/>
      </c>
      <c r="F10" s="248" t="str">
        <f t="array" ref="F10">IFERROR(VLOOKUP($I$2,IF(DATAKBA[NO]='LAMPIRAN-2020'!A10,DATAKBA[[TANGGAL]:[TARRA]],0),4,FALSE),"")</f>
        <v/>
      </c>
      <c r="G10" s="249" t="str">
        <f t="array" ref="G10">IFERROR(VLOOKUP($I$2,IF(DATAKBA[NO]='LAMPIRAN-2020'!A10,DATAKBA[[TANGGAL]:[TARRA]],0),5,FALSE),"")</f>
        <v/>
      </c>
      <c r="H10" s="251" t="str">
        <f t="array" ref="H10">IFERROR(VLOOKUP($I$2,IF(DATAKBA[NO]='LAMPIRAN-2020'!A10,DATAKBA[[TANGGAL]:[TARRA]],0),6,FALSE),"")</f>
        <v/>
      </c>
      <c r="I10" s="251" t="str">
        <f t="array" ref="I10">IFERROR(VLOOKUP($I$2,IF(DATAKBA[NO]='LAMPIRAN-2020'!A10,DATAKBA[[TANGGAL]:[TARRA]],0),7,FALSE),"")</f>
        <v/>
      </c>
      <c r="J10" s="251">
        <f t="shared" si="0"/>
        <v>0</v>
      </c>
      <c r="L10" s="216" t="str">
        <f t="shared" si="2"/>
        <v/>
      </c>
    </row>
    <row r="11" spans="1:12" s="34" customFormat="1" ht="18" hidden="1" customHeight="1">
      <c r="A11" s="34">
        <f t="shared" si="3"/>
        <v>6</v>
      </c>
      <c r="B11" s="34" t="str">
        <f t="shared" si="1"/>
        <v>DARAT</v>
      </c>
      <c r="D11" s="246" t="str">
        <f t="array" ref="D11">IFERROR(VLOOKUP($I$2,IF(DATAKBA[NO]='LAMPIRAN-2020'!A11,DATAKBA[[TANGGAL]:[TARRA]],0),2,FALSE),"")</f>
        <v/>
      </c>
      <c r="E11" s="247" t="str">
        <f t="array" ref="E11">IFERROR(VLOOKUP($I$2,IF(DATAKBA[NO]='LAMPIRAN-2020'!A11,DATAKBA[[TANGGAL]:[TARRA]],0),3,FALSE),"")</f>
        <v/>
      </c>
      <c r="F11" s="248" t="str">
        <f t="array" ref="F11">IFERROR(VLOOKUP($I$2,IF(DATAKBA[NO]='LAMPIRAN-2020'!A11,DATAKBA[[TANGGAL]:[TARRA]],0),4,FALSE),"")</f>
        <v/>
      </c>
      <c r="G11" s="249" t="str">
        <f t="array" ref="G11">IFERROR(VLOOKUP($I$2,IF(DATAKBA[NO]='LAMPIRAN-2020'!A11,DATAKBA[[TANGGAL]:[TARRA]],0),5,FALSE),"")</f>
        <v/>
      </c>
      <c r="H11" s="251" t="str">
        <f t="array" ref="H11">IFERROR(VLOOKUP($I$2,IF(DATAKBA[NO]='LAMPIRAN-2020'!A11,DATAKBA[[TANGGAL]:[TARRA]],0),6,FALSE),"")</f>
        <v/>
      </c>
      <c r="I11" s="251" t="str">
        <f t="array" ref="I11">IFERROR(VLOOKUP($I$2,IF(DATAKBA[NO]='LAMPIRAN-2020'!A11,DATAKBA[[TANGGAL]:[TARRA]],0),7,FALSE),"")</f>
        <v/>
      </c>
      <c r="J11" s="251">
        <f t="shared" si="0"/>
        <v>0</v>
      </c>
      <c r="L11" s="216" t="str">
        <f t="shared" si="2"/>
        <v/>
      </c>
    </row>
    <row r="12" spans="1:12" s="34" customFormat="1" ht="18" hidden="1" customHeight="1">
      <c r="A12" s="34">
        <f t="shared" si="3"/>
        <v>7</v>
      </c>
      <c r="B12" s="34" t="str">
        <f t="shared" si="1"/>
        <v>DARAT</v>
      </c>
      <c r="D12" s="246" t="str">
        <f t="array" ref="D12">IFERROR(VLOOKUP($I$2,IF(DATAKBA[NO]='LAMPIRAN-2020'!A12,DATAKBA[[TANGGAL]:[TARRA]],0),2,FALSE),"")</f>
        <v/>
      </c>
      <c r="E12" s="247" t="str">
        <f t="array" ref="E12">IFERROR(VLOOKUP($I$2,IF(DATAKBA[NO]='LAMPIRAN-2020'!A12,DATAKBA[[TANGGAL]:[TARRA]],0),3,FALSE),"")</f>
        <v/>
      </c>
      <c r="F12" s="248" t="str">
        <f t="array" ref="F12">IFERROR(VLOOKUP($I$2,IF(DATAKBA[NO]='LAMPIRAN-2020'!A12,DATAKBA[[TANGGAL]:[TARRA]],0),4,FALSE),"")</f>
        <v/>
      </c>
      <c r="G12" s="249" t="str">
        <f t="array" ref="G12">IFERROR(VLOOKUP($I$2,IF(DATAKBA[NO]='LAMPIRAN-2020'!A12,DATAKBA[[TANGGAL]:[TARRA]],0),5,FALSE),"")</f>
        <v/>
      </c>
      <c r="H12" s="251" t="str">
        <f t="array" ref="H12">IFERROR(VLOOKUP($I$2,IF(DATAKBA[NO]='LAMPIRAN-2020'!A12,DATAKBA[[TANGGAL]:[TARRA]],0),6,FALSE),"")</f>
        <v/>
      </c>
      <c r="I12" s="251" t="str">
        <f t="array" ref="I12">IFERROR(VLOOKUP($I$2,IF(DATAKBA[NO]='LAMPIRAN-2020'!A12,DATAKBA[[TANGGAL]:[TARRA]],0),7,FALSE),"")</f>
        <v/>
      </c>
      <c r="J12" s="251">
        <f t="shared" si="0"/>
        <v>0</v>
      </c>
      <c r="L12" s="216" t="str">
        <f t="shared" si="2"/>
        <v/>
      </c>
    </row>
    <row r="13" spans="1:12" s="34" customFormat="1" ht="18" hidden="1" customHeight="1">
      <c r="A13" s="34">
        <f t="shared" si="3"/>
        <v>8</v>
      </c>
      <c r="B13" s="34" t="str">
        <f t="shared" si="1"/>
        <v>DARAT</v>
      </c>
      <c r="D13" s="246" t="str">
        <f t="array" ref="D13">IFERROR(VLOOKUP($I$2,IF(DATAKBA[NO]='LAMPIRAN-2020'!A13,DATAKBA[[TANGGAL]:[TARRA]],0),2,FALSE),"")</f>
        <v/>
      </c>
      <c r="E13" s="247" t="str">
        <f t="array" ref="E13">IFERROR(VLOOKUP($I$2,IF(DATAKBA[NO]='LAMPIRAN-2020'!A13,DATAKBA[[TANGGAL]:[TARRA]],0),3,FALSE),"")</f>
        <v/>
      </c>
      <c r="F13" s="248" t="str">
        <f t="array" ref="F13">IFERROR(VLOOKUP($I$2,IF(DATAKBA[NO]='LAMPIRAN-2020'!A13,DATAKBA[[TANGGAL]:[TARRA]],0),4,FALSE),"")</f>
        <v/>
      </c>
      <c r="G13" s="249" t="str">
        <f t="array" ref="G13">IFERROR(VLOOKUP($I$2,IF(DATAKBA[NO]='LAMPIRAN-2020'!A13,DATAKBA[[TANGGAL]:[TARRA]],0),5,FALSE),"")</f>
        <v/>
      </c>
      <c r="H13" s="251" t="str">
        <f t="array" ref="H13">IFERROR(VLOOKUP($I$2,IF(DATAKBA[NO]='LAMPIRAN-2020'!A13,DATAKBA[[TANGGAL]:[TARRA]],0),6,FALSE),"")</f>
        <v/>
      </c>
      <c r="I13" s="251" t="str">
        <f t="array" ref="I13">IFERROR(VLOOKUP($I$2,IF(DATAKBA[NO]='LAMPIRAN-2020'!A13,DATAKBA[[TANGGAL]:[TARRA]],0),7,FALSE),"")</f>
        <v/>
      </c>
      <c r="J13" s="251">
        <f t="shared" si="0"/>
        <v>0</v>
      </c>
      <c r="L13" s="216" t="str">
        <f t="shared" si="2"/>
        <v/>
      </c>
    </row>
    <row r="14" spans="1:12" s="34" customFormat="1" ht="18" hidden="1" customHeight="1">
      <c r="A14" s="34">
        <f t="shared" si="3"/>
        <v>9</v>
      </c>
      <c r="B14" s="34" t="str">
        <f t="shared" si="1"/>
        <v>DARAT</v>
      </c>
      <c r="D14" s="246" t="str">
        <f t="array" ref="D14">IFERROR(VLOOKUP($I$2,IF(DATAKBA[NO]='LAMPIRAN-2020'!A14,DATAKBA[[TANGGAL]:[TARRA]],0),2,FALSE),"")</f>
        <v/>
      </c>
      <c r="E14" s="247" t="str">
        <f t="array" ref="E14">IFERROR(VLOOKUP($I$2,IF(DATAKBA[NO]='LAMPIRAN-2020'!A14,DATAKBA[[TANGGAL]:[TARRA]],0),3,FALSE),"")</f>
        <v/>
      </c>
      <c r="F14" s="248" t="str">
        <f t="array" ref="F14">IFERROR(VLOOKUP($I$2,IF(DATAKBA[NO]='LAMPIRAN-2020'!A14,DATAKBA[[TANGGAL]:[TARRA]],0),4,FALSE),"")</f>
        <v/>
      </c>
      <c r="G14" s="249" t="str">
        <f t="array" ref="G14">IFERROR(VLOOKUP($I$2,IF(DATAKBA[NO]='LAMPIRAN-2020'!A14,DATAKBA[[TANGGAL]:[TARRA]],0),5,FALSE),"")</f>
        <v/>
      </c>
      <c r="H14" s="251" t="str">
        <f t="array" ref="H14">IFERROR(VLOOKUP($I$2,IF(DATAKBA[NO]='LAMPIRAN-2020'!A14,DATAKBA[[TANGGAL]:[TARRA]],0),6,FALSE),"")</f>
        <v/>
      </c>
      <c r="I14" s="251" t="str">
        <f t="array" ref="I14">IFERROR(VLOOKUP($I$2,IF(DATAKBA[NO]='LAMPIRAN-2020'!A14,DATAKBA[[TANGGAL]:[TARRA]],0),7,FALSE),"")</f>
        <v/>
      </c>
      <c r="J14" s="251">
        <f t="shared" si="0"/>
        <v>0</v>
      </c>
      <c r="L14" s="216" t="str">
        <f t="shared" si="2"/>
        <v/>
      </c>
    </row>
    <row r="15" spans="1:12" s="34" customFormat="1" ht="18" hidden="1" customHeight="1">
      <c r="A15" s="34">
        <f t="shared" si="3"/>
        <v>10</v>
      </c>
      <c r="B15" s="34" t="str">
        <f t="shared" si="1"/>
        <v>DARAT</v>
      </c>
      <c r="D15" s="246" t="str">
        <f t="array" ref="D15">IFERROR(VLOOKUP($I$2,IF(DATAKBA[NO]='LAMPIRAN-2020'!A15,DATAKBA[[TANGGAL]:[TARRA]],0),2,FALSE),"")</f>
        <v/>
      </c>
      <c r="E15" s="247" t="str">
        <f t="array" ref="E15">IFERROR(VLOOKUP($I$2,IF(DATAKBA[NO]='LAMPIRAN-2020'!A15,DATAKBA[[TANGGAL]:[TARRA]],0),3,FALSE),"")</f>
        <v/>
      </c>
      <c r="F15" s="248" t="str">
        <f t="array" ref="F15">IFERROR(VLOOKUP($I$2,IF(DATAKBA[NO]='LAMPIRAN-2020'!A15,DATAKBA[[TANGGAL]:[TARRA]],0),4,FALSE),"")</f>
        <v/>
      </c>
      <c r="G15" s="249" t="str">
        <f t="array" ref="G15">IFERROR(VLOOKUP($I$2,IF(DATAKBA[NO]='LAMPIRAN-2020'!A15,DATAKBA[[TANGGAL]:[TARRA]],0),5,FALSE),"")</f>
        <v/>
      </c>
      <c r="H15" s="251" t="str">
        <f t="array" ref="H15">IFERROR(VLOOKUP($I$2,IF(DATAKBA[NO]='LAMPIRAN-2020'!A15,DATAKBA[[TANGGAL]:[TARRA]],0),6,FALSE),"")</f>
        <v/>
      </c>
      <c r="I15" s="251" t="str">
        <f t="array" ref="I15">IFERROR(VLOOKUP($I$2,IF(DATAKBA[NO]='LAMPIRAN-2020'!A15,DATAKBA[[TANGGAL]:[TARRA]],0),7,FALSE),"")</f>
        <v/>
      </c>
      <c r="J15" s="251">
        <f t="shared" si="0"/>
        <v>0</v>
      </c>
      <c r="L15" s="216" t="str">
        <f t="shared" si="2"/>
        <v/>
      </c>
    </row>
    <row r="16" spans="1:12" s="34" customFormat="1" ht="18" hidden="1" customHeight="1">
      <c r="A16" s="34">
        <f t="shared" si="3"/>
        <v>11</v>
      </c>
      <c r="B16" s="34" t="str">
        <f t="shared" si="1"/>
        <v>DARAT</v>
      </c>
      <c r="D16" s="246" t="str">
        <f t="array" ref="D16">IFERROR(VLOOKUP($I$2,IF(DATAKBA[NO]='LAMPIRAN-2020'!A16,DATAKBA[[TANGGAL]:[TARRA]],0),2,FALSE),"")</f>
        <v/>
      </c>
      <c r="E16" s="247" t="str">
        <f t="array" ref="E16">IFERROR(VLOOKUP($I$2,IF(DATAKBA[NO]='LAMPIRAN-2020'!A16,DATAKBA[[TANGGAL]:[TARRA]],0),3,FALSE),"")</f>
        <v/>
      </c>
      <c r="F16" s="248" t="str">
        <f t="array" ref="F16">IFERROR(VLOOKUP($I$2,IF(DATAKBA[NO]='LAMPIRAN-2020'!A16,DATAKBA[[TANGGAL]:[TARRA]],0),4,FALSE),"")</f>
        <v/>
      </c>
      <c r="G16" s="249" t="str">
        <f t="array" ref="G16">IFERROR(VLOOKUP($I$2,IF(DATAKBA[NO]='LAMPIRAN-2020'!A16,DATAKBA[[TANGGAL]:[TARRA]],0),5,FALSE),"")</f>
        <v/>
      </c>
      <c r="H16" s="251" t="str">
        <f t="array" ref="H16">IFERROR(VLOOKUP($I$2,IF(DATAKBA[NO]='LAMPIRAN-2020'!A16,DATAKBA[[TANGGAL]:[TARRA]],0),6,FALSE),"")</f>
        <v/>
      </c>
      <c r="I16" s="251" t="str">
        <f t="array" ref="I16">IFERROR(VLOOKUP($I$2,IF(DATAKBA[NO]='LAMPIRAN-2020'!A16,DATAKBA[[TANGGAL]:[TARRA]],0),7,FALSE),"")</f>
        <v/>
      </c>
      <c r="J16" s="251">
        <f t="shared" si="0"/>
        <v>0</v>
      </c>
      <c r="L16" s="216" t="str">
        <f t="shared" si="2"/>
        <v/>
      </c>
    </row>
    <row r="17" spans="1:12" s="34" customFormat="1" ht="18" hidden="1" customHeight="1">
      <c r="A17" s="34">
        <f t="shared" si="3"/>
        <v>12</v>
      </c>
      <c r="B17" s="34" t="str">
        <f t="shared" si="1"/>
        <v>DARAT</v>
      </c>
      <c r="D17" s="246" t="str">
        <f t="array" ref="D17">IFERROR(VLOOKUP($I$2,IF(DATAKBA[NO]='LAMPIRAN-2020'!A17,DATAKBA[[TANGGAL]:[TARRA]],0),2,FALSE),"")</f>
        <v/>
      </c>
      <c r="E17" s="247" t="str">
        <f t="array" ref="E17">IFERROR(VLOOKUP($I$2,IF(DATAKBA[NO]='LAMPIRAN-2020'!A17,DATAKBA[[TANGGAL]:[TARRA]],0),3,FALSE),"")</f>
        <v/>
      </c>
      <c r="F17" s="248" t="str">
        <f t="array" ref="F17">IFERROR(VLOOKUP($I$2,IF(DATAKBA[NO]='LAMPIRAN-2020'!A17,DATAKBA[[TANGGAL]:[TARRA]],0),4,FALSE),"")</f>
        <v/>
      </c>
      <c r="G17" s="249" t="str">
        <f t="array" ref="G17">IFERROR(VLOOKUP($I$2,IF(DATAKBA[NO]='LAMPIRAN-2020'!A17,DATAKBA[[TANGGAL]:[TARRA]],0),5,FALSE),"")</f>
        <v/>
      </c>
      <c r="H17" s="251" t="str">
        <f t="array" ref="H17">IFERROR(VLOOKUP($I$2,IF(DATAKBA[NO]='LAMPIRAN-2020'!A17,DATAKBA[[TANGGAL]:[TARRA]],0),6,FALSE),"")</f>
        <v/>
      </c>
      <c r="I17" s="251" t="str">
        <f t="array" ref="I17">IFERROR(VLOOKUP($I$2,IF(DATAKBA[NO]='LAMPIRAN-2020'!A17,DATAKBA[[TANGGAL]:[TARRA]],0),7,FALSE),"")</f>
        <v/>
      </c>
      <c r="J17" s="251">
        <f t="shared" si="0"/>
        <v>0</v>
      </c>
      <c r="L17" s="216" t="str">
        <f t="shared" si="2"/>
        <v/>
      </c>
    </row>
    <row r="18" spans="1:12" s="34" customFormat="1" ht="18" hidden="1" customHeight="1">
      <c r="A18" s="34">
        <f t="shared" si="3"/>
        <v>13</v>
      </c>
      <c r="B18" s="34" t="str">
        <f t="shared" si="1"/>
        <v>DARAT</v>
      </c>
      <c r="D18" s="246" t="str">
        <f t="array" ref="D18">IFERROR(VLOOKUP($I$2,IF(DATAKBA[NO]='LAMPIRAN-2020'!A18,DATAKBA[[TANGGAL]:[TARRA]],0),2,FALSE),"")</f>
        <v/>
      </c>
      <c r="E18" s="247" t="str">
        <f t="array" ref="E18">IFERROR(VLOOKUP($I$2,IF(DATAKBA[NO]='LAMPIRAN-2020'!A18,DATAKBA[[TANGGAL]:[TARRA]],0),3,FALSE),"")</f>
        <v/>
      </c>
      <c r="F18" s="248" t="str">
        <f t="array" ref="F18">IFERROR(VLOOKUP($I$2,IF(DATAKBA[NO]='LAMPIRAN-2020'!A18,DATAKBA[[TANGGAL]:[TARRA]],0),4,FALSE),"")</f>
        <v/>
      </c>
      <c r="G18" s="249" t="str">
        <f t="array" ref="G18">IFERROR(VLOOKUP($I$2,IF(DATAKBA[NO]='LAMPIRAN-2020'!A18,DATAKBA[[TANGGAL]:[TARRA]],0),5,FALSE),"")</f>
        <v/>
      </c>
      <c r="H18" s="251" t="str">
        <f t="array" ref="H18">IFERROR(VLOOKUP($I$2,IF(DATAKBA[NO]='LAMPIRAN-2020'!A18,DATAKBA[[TANGGAL]:[TARRA]],0),6,FALSE),"")</f>
        <v/>
      </c>
      <c r="I18" s="251" t="str">
        <f t="array" ref="I18">IFERROR(VLOOKUP($I$2,IF(DATAKBA[NO]='LAMPIRAN-2020'!A18,DATAKBA[[TANGGAL]:[TARRA]],0),7,FALSE),"")</f>
        <v/>
      </c>
      <c r="J18" s="251">
        <f t="shared" si="0"/>
        <v>0</v>
      </c>
      <c r="L18" s="216" t="str">
        <f t="shared" si="2"/>
        <v/>
      </c>
    </row>
    <row r="19" spans="1:12" s="34" customFormat="1" ht="18" hidden="1" customHeight="1">
      <c r="A19" s="34">
        <f t="shared" si="3"/>
        <v>14</v>
      </c>
      <c r="B19" s="34" t="str">
        <f t="shared" si="1"/>
        <v>DARAT</v>
      </c>
      <c r="D19" s="246" t="str">
        <f t="array" ref="D19">IFERROR(VLOOKUP($I$2,IF(DATAKBA[NO]='LAMPIRAN-2020'!A19,DATAKBA[[TANGGAL]:[TARRA]],0),2,FALSE),"")</f>
        <v/>
      </c>
      <c r="E19" s="247" t="str">
        <f t="array" ref="E19">IFERROR(VLOOKUP($I$2,IF(DATAKBA[NO]='LAMPIRAN-2020'!A19,DATAKBA[[TANGGAL]:[TARRA]],0),3,FALSE),"")</f>
        <v/>
      </c>
      <c r="F19" s="248" t="str">
        <f t="array" ref="F19">IFERROR(VLOOKUP($I$2,IF(DATAKBA[NO]='LAMPIRAN-2020'!A19,DATAKBA[[TANGGAL]:[TARRA]],0),4,FALSE),"")</f>
        <v/>
      </c>
      <c r="G19" s="249" t="str">
        <f t="array" ref="G19">IFERROR(VLOOKUP($I$2,IF(DATAKBA[NO]='LAMPIRAN-2020'!A19,DATAKBA[[TANGGAL]:[TARRA]],0),5,FALSE),"")</f>
        <v/>
      </c>
      <c r="H19" s="251" t="str">
        <f t="array" ref="H19">IFERROR(VLOOKUP($I$2,IF(DATAKBA[NO]='LAMPIRAN-2020'!A19,DATAKBA[[TANGGAL]:[TARRA]],0),6,FALSE),"")</f>
        <v/>
      </c>
      <c r="I19" s="251" t="str">
        <f t="array" ref="I19">IFERROR(VLOOKUP($I$2,IF(DATAKBA[NO]='LAMPIRAN-2020'!A19,DATAKBA[[TANGGAL]:[TARRA]],0),7,FALSE),"")</f>
        <v/>
      </c>
      <c r="J19" s="251">
        <f t="shared" si="0"/>
        <v>0</v>
      </c>
      <c r="L19" s="216" t="str">
        <f t="shared" si="2"/>
        <v/>
      </c>
    </row>
    <row r="20" spans="1:12" s="34" customFormat="1" ht="18" hidden="1" customHeight="1">
      <c r="A20" s="34">
        <f t="shared" si="3"/>
        <v>15</v>
      </c>
      <c r="B20" s="34" t="str">
        <f t="shared" si="1"/>
        <v>DARAT</v>
      </c>
      <c r="D20" s="246" t="str">
        <f t="array" ref="D20">IFERROR(VLOOKUP($I$2,IF(DATAKBA[NO]='LAMPIRAN-2020'!A20,DATAKBA[[TANGGAL]:[TARRA]],0),2,FALSE),"")</f>
        <v/>
      </c>
      <c r="E20" s="247" t="str">
        <f t="array" ref="E20">IFERROR(VLOOKUP($I$2,IF(DATAKBA[NO]='LAMPIRAN-2020'!A20,DATAKBA[[TANGGAL]:[TARRA]],0),3,FALSE),"")</f>
        <v/>
      </c>
      <c r="F20" s="248" t="str">
        <f t="array" ref="F20">IFERROR(VLOOKUP($I$2,IF(DATAKBA[NO]='LAMPIRAN-2020'!A20,DATAKBA[[TANGGAL]:[TARRA]],0),4,FALSE),"")</f>
        <v/>
      </c>
      <c r="G20" s="249" t="str">
        <f t="array" ref="G20">IFERROR(VLOOKUP($I$2,IF(DATAKBA[NO]='LAMPIRAN-2020'!A20,DATAKBA[[TANGGAL]:[TARRA]],0),5,FALSE),"")</f>
        <v/>
      </c>
      <c r="H20" s="251" t="str">
        <f t="array" ref="H20">IFERROR(VLOOKUP($I$2,IF(DATAKBA[NO]='LAMPIRAN-2020'!A20,DATAKBA[[TANGGAL]:[TARRA]],0),6,FALSE),"")</f>
        <v/>
      </c>
      <c r="I20" s="251" t="str">
        <f t="array" ref="I20">IFERROR(VLOOKUP($I$2,IF(DATAKBA[NO]='LAMPIRAN-2020'!A20,DATAKBA[[TANGGAL]:[TARRA]],0),7,FALSE),"")</f>
        <v/>
      </c>
      <c r="J20" s="251">
        <f t="shared" si="0"/>
        <v>0</v>
      </c>
      <c r="L20" s="216" t="str">
        <f t="shared" si="2"/>
        <v/>
      </c>
    </row>
    <row r="21" spans="1:12" s="34" customFormat="1" ht="18" hidden="1" customHeight="1">
      <c r="A21" s="34">
        <f t="shared" si="3"/>
        <v>16</v>
      </c>
      <c r="B21" s="34" t="str">
        <f t="shared" si="1"/>
        <v>DARAT</v>
      </c>
      <c r="D21" s="246" t="str">
        <f t="array" ref="D21">IFERROR(VLOOKUP($I$2,IF(DATAKBA[NO]='LAMPIRAN-2020'!A21,DATAKBA[[TANGGAL]:[TARRA]],0),2,FALSE),"")</f>
        <v/>
      </c>
      <c r="E21" s="247" t="str">
        <f t="array" ref="E21">IFERROR(VLOOKUP($I$2,IF(DATAKBA[NO]='LAMPIRAN-2020'!A21,DATAKBA[[TANGGAL]:[TARRA]],0),3,FALSE),"")</f>
        <v/>
      </c>
      <c r="F21" s="248" t="str">
        <f t="array" ref="F21">IFERROR(VLOOKUP($I$2,IF(DATAKBA[NO]='LAMPIRAN-2020'!A21,DATAKBA[[TANGGAL]:[TARRA]],0),4,FALSE),"")</f>
        <v/>
      </c>
      <c r="G21" s="249" t="str">
        <f t="array" ref="G21">IFERROR(VLOOKUP($I$2,IF(DATAKBA[NO]='LAMPIRAN-2020'!A21,DATAKBA[[TANGGAL]:[TARRA]],0),5,FALSE),"")</f>
        <v/>
      </c>
      <c r="H21" s="251" t="str">
        <f t="array" ref="H21">IFERROR(VLOOKUP($I$2,IF(DATAKBA[NO]='LAMPIRAN-2020'!A21,DATAKBA[[TANGGAL]:[TARRA]],0),6,FALSE),"")</f>
        <v/>
      </c>
      <c r="I21" s="251" t="str">
        <f t="array" ref="I21">IFERROR(VLOOKUP($I$2,IF(DATAKBA[NO]='LAMPIRAN-2020'!A21,DATAKBA[[TANGGAL]:[TARRA]],0),7,FALSE),"")</f>
        <v/>
      </c>
      <c r="J21" s="251">
        <f t="shared" si="0"/>
        <v>0</v>
      </c>
      <c r="L21" s="216" t="str">
        <f t="shared" si="2"/>
        <v/>
      </c>
    </row>
    <row r="22" spans="1:12" s="34" customFormat="1" ht="18" hidden="1" customHeight="1">
      <c r="A22" s="34">
        <f t="shared" si="3"/>
        <v>17</v>
      </c>
      <c r="B22" s="34" t="str">
        <f t="shared" si="1"/>
        <v>DARAT</v>
      </c>
      <c r="D22" s="246" t="str">
        <f t="array" ref="D22">IFERROR(VLOOKUP($I$2,IF(DATAKBA[NO]='LAMPIRAN-2020'!A22,DATAKBA[[TANGGAL]:[TARRA]],0),2,FALSE),"")</f>
        <v/>
      </c>
      <c r="E22" s="247" t="str">
        <f t="array" ref="E22">IFERROR(VLOOKUP($I$2,IF(DATAKBA[NO]='LAMPIRAN-2020'!A22,DATAKBA[[TANGGAL]:[TARRA]],0),3,FALSE),"")</f>
        <v/>
      </c>
      <c r="F22" s="248" t="str">
        <f t="array" ref="F22">IFERROR(VLOOKUP($I$2,IF(DATAKBA[NO]='LAMPIRAN-2020'!A22,DATAKBA[[TANGGAL]:[TARRA]],0),4,FALSE),"")</f>
        <v/>
      </c>
      <c r="G22" s="249" t="str">
        <f t="array" ref="G22">IFERROR(VLOOKUP($I$2,IF(DATAKBA[NO]='LAMPIRAN-2020'!A22,DATAKBA[[TANGGAL]:[TARRA]],0),5,FALSE),"")</f>
        <v/>
      </c>
      <c r="H22" s="251" t="str">
        <f t="array" ref="H22">IFERROR(VLOOKUP($I$2,IF(DATAKBA[NO]='LAMPIRAN-2020'!A22,DATAKBA[[TANGGAL]:[TARRA]],0),6,FALSE),"")</f>
        <v/>
      </c>
      <c r="I22" s="251" t="str">
        <f t="array" ref="I22">IFERROR(VLOOKUP($I$2,IF(DATAKBA[NO]='LAMPIRAN-2020'!A22,DATAKBA[[TANGGAL]:[TARRA]],0),7,FALSE),"")</f>
        <v/>
      </c>
      <c r="J22" s="251">
        <f t="shared" si="0"/>
        <v>0</v>
      </c>
      <c r="L22" s="216" t="str">
        <f t="shared" si="2"/>
        <v/>
      </c>
    </row>
    <row r="23" spans="1:12" s="34" customFormat="1" ht="18" hidden="1" customHeight="1">
      <c r="A23" s="34">
        <f t="shared" si="3"/>
        <v>18</v>
      </c>
      <c r="B23" s="34" t="str">
        <f t="shared" si="1"/>
        <v>DARAT</v>
      </c>
      <c r="D23" s="246" t="str">
        <f t="array" ref="D23">IFERROR(VLOOKUP($I$2,IF(DATAKBA[NO]='LAMPIRAN-2020'!A23,DATAKBA[[TANGGAL]:[TARRA]],0),2,FALSE),"")</f>
        <v/>
      </c>
      <c r="E23" s="247" t="str">
        <f t="array" ref="E23">IFERROR(VLOOKUP($I$2,IF(DATAKBA[NO]='LAMPIRAN-2020'!A23,DATAKBA[[TANGGAL]:[TARRA]],0),3,FALSE),"")</f>
        <v/>
      </c>
      <c r="F23" s="248" t="str">
        <f t="array" ref="F23">IFERROR(VLOOKUP($I$2,IF(DATAKBA[NO]='LAMPIRAN-2020'!A23,DATAKBA[[TANGGAL]:[TARRA]],0),4,FALSE),"")</f>
        <v/>
      </c>
      <c r="G23" s="249" t="str">
        <f t="array" ref="G23">IFERROR(VLOOKUP($I$2,IF(DATAKBA[NO]='LAMPIRAN-2020'!A23,DATAKBA[[TANGGAL]:[TARRA]],0),5,FALSE),"")</f>
        <v/>
      </c>
      <c r="H23" s="251" t="str">
        <f t="array" ref="H23">IFERROR(VLOOKUP($I$2,IF(DATAKBA[NO]='LAMPIRAN-2020'!A23,DATAKBA[[TANGGAL]:[TARRA]],0),6,FALSE),"")</f>
        <v/>
      </c>
      <c r="I23" s="251" t="str">
        <f t="array" ref="I23">IFERROR(VLOOKUP($I$2,IF(DATAKBA[NO]='LAMPIRAN-2020'!A23,DATAKBA[[TANGGAL]:[TARRA]],0),7,FALSE),"")</f>
        <v/>
      </c>
      <c r="J23" s="251">
        <f t="shared" si="0"/>
        <v>0</v>
      </c>
      <c r="L23" s="216" t="str">
        <f t="shared" si="2"/>
        <v/>
      </c>
    </row>
    <row r="24" spans="1:12" s="34" customFormat="1" ht="18" hidden="1" customHeight="1">
      <c r="A24" s="34">
        <f t="shared" si="3"/>
        <v>19</v>
      </c>
      <c r="B24" s="34" t="str">
        <f t="shared" si="1"/>
        <v>DARAT</v>
      </c>
      <c r="D24" s="246" t="str">
        <f t="array" ref="D24">IFERROR(VLOOKUP($I$2,IF(DATAKBA[NO]='LAMPIRAN-2020'!A24,DATAKBA[[TANGGAL]:[TARRA]],0),2,FALSE),"")</f>
        <v/>
      </c>
      <c r="E24" s="247" t="str">
        <f t="array" ref="E24">IFERROR(VLOOKUP($I$2,IF(DATAKBA[NO]='LAMPIRAN-2020'!A24,DATAKBA[[TANGGAL]:[TARRA]],0),3,FALSE),"")</f>
        <v/>
      </c>
      <c r="F24" s="248" t="str">
        <f t="array" ref="F24">IFERROR(VLOOKUP($I$2,IF(DATAKBA[NO]='LAMPIRAN-2020'!A24,DATAKBA[[TANGGAL]:[TARRA]],0),4,FALSE),"")</f>
        <v/>
      </c>
      <c r="G24" s="249" t="str">
        <f t="array" ref="G24">IFERROR(VLOOKUP($I$2,IF(DATAKBA[NO]='LAMPIRAN-2020'!A24,DATAKBA[[TANGGAL]:[TARRA]],0),5,FALSE),"")</f>
        <v/>
      </c>
      <c r="H24" s="251" t="str">
        <f t="array" ref="H24">IFERROR(VLOOKUP($I$2,IF(DATAKBA[NO]='LAMPIRAN-2020'!A24,DATAKBA[[TANGGAL]:[TARRA]],0),6,FALSE),"")</f>
        <v/>
      </c>
      <c r="I24" s="251" t="str">
        <f t="array" ref="I24">IFERROR(VLOOKUP($I$2,IF(DATAKBA[NO]='LAMPIRAN-2020'!A24,DATAKBA[[TANGGAL]:[TARRA]],0),7,FALSE),"")</f>
        <v/>
      </c>
      <c r="J24" s="251">
        <f t="shared" si="0"/>
        <v>0</v>
      </c>
      <c r="L24" s="216" t="str">
        <f t="shared" si="2"/>
        <v/>
      </c>
    </row>
    <row r="25" spans="1:12" s="34" customFormat="1" ht="18" hidden="1" customHeight="1">
      <c r="A25" s="34">
        <f t="shared" si="3"/>
        <v>20</v>
      </c>
      <c r="B25" s="34" t="str">
        <f t="shared" si="1"/>
        <v>DARAT</v>
      </c>
      <c r="D25" s="246" t="str">
        <f t="array" ref="D25">IFERROR(VLOOKUP($I$2,IF(DATAKBA[NO]='LAMPIRAN-2020'!A25,DATAKBA[[TANGGAL]:[TARRA]],0),2,FALSE),"")</f>
        <v/>
      </c>
      <c r="E25" s="247" t="str">
        <f t="array" ref="E25">IFERROR(VLOOKUP($I$2,IF(DATAKBA[NO]='LAMPIRAN-2020'!A25,DATAKBA[[TANGGAL]:[TARRA]],0),3,FALSE),"")</f>
        <v/>
      </c>
      <c r="F25" s="248" t="str">
        <f t="array" ref="F25">IFERROR(VLOOKUP($I$2,IF(DATAKBA[NO]='LAMPIRAN-2020'!A25,DATAKBA[[TANGGAL]:[TARRA]],0),4,FALSE),"")</f>
        <v/>
      </c>
      <c r="G25" s="249" t="str">
        <f t="array" ref="G25">IFERROR(VLOOKUP($I$2,IF(DATAKBA[NO]='LAMPIRAN-2020'!A25,DATAKBA[[TANGGAL]:[TARRA]],0),5,FALSE),"")</f>
        <v/>
      </c>
      <c r="H25" s="251" t="str">
        <f t="array" ref="H25">IFERROR(VLOOKUP($I$2,IF(DATAKBA[NO]='LAMPIRAN-2020'!A25,DATAKBA[[TANGGAL]:[TARRA]],0),6,FALSE),"")</f>
        <v/>
      </c>
      <c r="I25" s="251" t="str">
        <f t="array" ref="I25">IFERROR(VLOOKUP($I$2,IF(DATAKBA[NO]='LAMPIRAN-2020'!A25,DATAKBA[[TANGGAL]:[TARRA]],0),7,FALSE),"")</f>
        <v/>
      </c>
      <c r="J25" s="251">
        <f t="shared" si="0"/>
        <v>0</v>
      </c>
      <c r="L25" s="216" t="str">
        <f t="shared" si="2"/>
        <v/>
      </c>
    </row>
    <row r="26" spans="1:12" s="34" customFormat="1" ht="18" hidden="1" customHeight="1">
      <c r="A26" s="34">
        <f t="shared" si="3"/>
        <v>21</v>
      </c>
      <c r="B26" s="34" t="str">
        <f t="shared" si="1"/>
        <v>DARAT</v>
      </c>
      <c r="D26" s="246" t="str">
        <f t="array" ref="D26">IFERROR(VLOOKUP($I$2,IF(DATAKBA[NO]='LAMPIRAN-2020'!A26,DATAKBA[[TANGGAL]:[TARRA]],0),2,FALSE),"")</f>
        <v/>
      </c>
      <c r="E26" s="247" t="str">
        <f t="array" ref="E26">IFERROR(VLOOKUP($I$2,IF(DATAKBA[NO]='LAMPIRAN-2020'!A26,DATAKBA[[TANGGAL]:[TARRA]],0),3,FALSE),"")</f>
        <v/>
      </c>
      <c r="F26" s="248" t="str">
        <f t="array" ref="F26">IFERROR(VLOOKUP($I$2,IF(DATAKBA[NO]='LAMPIRAN-2020'!A26,DATAKBA[[TANGGAL]:[TARRA]],0),4,FALSE),"")</f>
        <v/>
      </c>
      <c r="G26" s="249" t="str">
        <f t="array" ref="G26">IFERROR(VLOOKUP($I$2,IF(DATAKBA[NO]='LAMPIRAN-2020'!A26,DATAKBA[[TANGGAL]:[TARRA]],0),5,FALSE),"")</f>
        <v/>
      </c>
      <c r="H26" s="251" t="str">
        <f t="array" ref="H26">IFERROR(VLOOKUP($I$2,IF(DATAKBA[NO]='LAMPIRAN-2020'!A26,DATAKBA[[TANGGAL]:[TARRA]],0),6,FALSE),"")</f>
        <v/>
      </c>
      <c r="I26" s="251" t="str">
        <f t="array" ref="I26">IFERROR(VLOOKUP($I$2,IF(DATAKBA[NO]='LAMPIRAN-2020'!A26,DATAKBA[[TANGGAL]:[TARRA]],0),7,FALSE),"")</f>
        <v/>
      </c>
      <c r="J26" s="251">
        <f t="shared" si="0"/>
        <v>0</v>
      </c>
      <c r="L26" s="216" t="str">
        <f t="shared" si="2"/>
        <v/>
      </c>
    </row>
    <row r="27" spans="1:12" s="34" customFormat="1" ht="18" hidden="1" customHeight="1">
      <c r="A27" s="34">
        <f t="shared" si="3"/>
        <v>22</v>
      </c>
      <c r="B27" s="34" t="str">
        <f t="shared" si="1"/>
        <v>DARAT</v>
      </c>
      <c r="D27" s="246" t="str">
        <f t="array" ref="D27">IFERROR(VLOOKUP($I$2,IF(DATAKBA[NO]='LAMPIRAN-2020'!A27,DATAKBA[[TANGGAL]:[TARRA]],0),2,FALSE),"")</f>
        <v/>
      </c>
      <c r="E27" s="247" t="str">
        <f t="array" ref="E27">IFERROR(VLOOKUP($I$2,IF(DATAKBA[NO]='LAMPIRAN-2020'!A27,DATAKBA[[TANGGAL]:[TARRA]],0),3,FALSE),"")</f>
        <v/>
      </c>
      <c r="F27" s="248" t="str">
        <f t="array" ref="F27">IFERROR(VLOOKUP($I$2,IF(DATAKBA[NO]='LAMPIRAN-2020'!A27,DATAKBA[[TANGGAL]:[TARRA]],0),4,FALSE),"")</f>
        <v/>
      </c>
      <c r="G27" s="249" t="str">
        <f t="array" ref="G27">IFERROR(VLOOKUP($I$2,IF(DATAKBA[NO]='LAMPIRAN-2020'!A27,DATAKBA[[TANGGAL]:[TARRA]],0),5,FALSE),"")</f>
        <v/>
      </c>
      <c r="H27" s="251" t="str">
        <f t="array" ref="H27">IFERROR(VLOOKUP($I$2,IF(DATAKBA[NO]='LAMPIRAN-2020'!A27,DATAKBA[[TANGGAL]:[TARRA]],0),6,FALSE),"")</f>
        <v/>
      </c>
      <c r="I27" s="251" t="str">
        <f t="array" ref="I27">IFERROR(VLOOKUP($I$2,IF(DATAKBA[NO]='LAMPIRAN-2020'!A27,DATAKBA[[TANGGAL]:[TARRA]],0),7,FALSE),"")</f>
        <v/>
      </c>
      <c r="J27" s="251">
        <f t="shared" si="0"/>
        <v>0</v>
      </c>
      <c r="L27" s="216" t="str">
        <f t="shared" si="2"/>
        <v/>
      </c>
    </row>
    <row r="28" spans="1:12" s="34" customFormat="1" ht="18" hidden="1" customHeight="1">
      <c r="A28" s="34">
        <f t="shared" si="3"/>
        <v>23</v>
      </c>
      <c r="B28" s="34" t="str">
        <f t="shared" si="1"/>
        <v>DARAT</v>
      </c>
      <c r="D28" s="246" t="str">
        <f t="array" ref="D28">IFERROR(VLOOKUP($I$2,IF(DATAKBA[NO]='LAMPIRAN-2020'!A28,DATAKBA[[TANGGAL]:[TARRA]],0),2,FALSE),"")</f>
        <v/>
      </c>
      <c r="E28" s="247" t="str">
        <f t="array" ref="E28">IFERROR(VLOOKUP($I$2,IF(DATAKBA[NO]='LAMPIRAN-2020'!A28,DATAKBA[[TANGGAL]:[TARRA]],0),3,FALSE),"")</f>
        <v/>
      </c>
      <c r="F28" s="248" t="str">
        <f t="array" ref="F28">IFERROR(VLOOKUP($I$2,IF(DATAKBA[NO]='LAMPIRAN-2020'!A28,DATAKBA[[TANGGAL]:[TARRA]],0),4,FALSE),"")</f>
        <v/>
      </c>
      <c r="G28" s="249" t="str">
        <f t="array" ref="G28">IFERROR(VLOOKUP($I$2,IF(DATAKBA[NO]='LAMPIRAN-2020'!A28,DATAKBA[[TANGGAL]:[TARRA]],0),5,FALSE),"")</f>
        <v/>
      </c>
      <c r="H28" s="251" t="str">
        <f t="array" ref="H28">IFERROR(VLOOKUP($I$2,IF(DATAKBA[NO]='LAMPIRAN-2020'!A28,DATAKBA[[TANGGAL]:[TARRA]],0),6,FALSE),"")</f>
        <v/>
      </c>
      <c r="I28" s="251" t="str">
        <f t="array" ref="I28">IFERROR(VLOOKUP($I$2,IF(DATAKBA[NO]='LAMPIRAN-2020'!A28,DATAKBA[[TANGGAL]:[TARRA]],0),7,FALSE),"")</f>
        <v/>
      </c>
      <c r="J28" s="251">
        <f t="shared" si="0"/>
        <v>0</v>
      </c>
      <c r="L28" s="216" t="str">
        <f t="shared" si="2"/>
        <v/>
      </c>
    </row>
    <row r="29" spans="1:12" s="34" customFormat="1" ht="18" hidden="1" customHeight="1">
      <c r="A29" s="34">
        <f t="shared" si="3"/>
        <v>24</v>
      </c>
      <c r="B29" s="34" t="str">
        <f t="shared" si="1"/>
        <v>DARAT</v>
      </c>
      <c r="D29" s="246" t="str">
        <f t="array" ref="D29">IFERROR(VLOOKUP($I$2,IF(DATAKBA[NO]='LAMPIRAN-2020'!A29,DATAKBA[[TANGGAL]:[TARRA]],0),2,FALSE),"")</f>
        <v/>
      </c>
      <c r="E29" s="247" t="str">
        <f t="array" ref="E29">IFERROR(VLOOKUP($I$2,IF(DATAKBA[NO]='LAMPIRAN-2020'!A29,DATAKBA[[TANGGAL]:[TARRA]],0),3,FALSE),"")</f>
        <v/>
      </c>
      <c r="F29" s="248" t="str">
        <f t="array" ref="F29">IFERROR(VLOOKUP($I$2,IF(DATAKBA[NO]='LAMPIRAN-2020'!A29,DATAKBA[[TANGGAL]:[TARRA]],0),4,FALSE),"")</f>
        <v/>
      </c>
      <c r="G29" s="249" t="str">
        <f t="array" ref="G29">IFERROR(VLOOKUP($I$2,IF(DATAKBA[NO]='LAMPIRAN-2020'!A29,DATAKBA[[TANGGAL]:[TARRA]],0),5,FALSE),"")</f>
        <v/>
      </c>
      <c r="H29" s="251" t="str">
        <f t="array" ref="H29">IFERROR(VLOOKUP($I$2,IF(DATAKBA[NO]='LAMPIRAN-2020'!A29,DATAKBA[[TANGGAL]:[TARRA]],0),6,FALSE),"")</f>
        <v/>
      </c>
      <c r="I29" s="251" t="str">
        <f t="array" ref="I29">IFERROR(VLOOKUP($I$2,IF(DATAKBA[NO]='LAMPIRAN-2020'!A29,DATAKBA[[TANGGAL]:[TARRA]],0),7,FALSE),"")</f>
        <v/>
      </c>
      <c r="J29" s="251">
        <f t="shared" si="0"/>
        <v>0</v>
      </c>
      <c r="L29" s="216" t="str">
        <f t="shared" si="2"/>
        <v/>
      </c>
    </row>
    <row r="30" spans="1:12" s="34" customFormat="1" ht="18" hidden="1" customHeight="1">
      <c r="A30" s="34">
        <f t="shared" si="3"/>
        <v>25</v>
      </c>
      <c r="B30" s="34" t="str">
        <f t="shared" si="1"/>
        <v>DARAT</v>
      </c>
      <c r="D30" s="246" t="str">
        <f t="array" ref="D30">IFERROR(VLOOKUP($I$2,IF(DATAKBA[NO]='LAMPIRAN-2020'!A30,DATAKBA[[TANGGAL]:[TARRA]],0),2,FALSE),"")</f>
        <v/>
      </c>
      <c r="E30" s="247" t="str">
        <f t="array" ref="E30">IFERROR(VLOOKUP($I$2,IF(DATAKBA[NO]='LAMPIRAN-2020'!A30,DATAKBA[[TANGGAL]:[TARRA]],0),3,FALSE),"")</f>
        <v/>
      </c>
      <c r="F30" s="248" t="str">
        <f t="array" ref="F30">IFERROR(VLOOKUP($I$2,IF(DATAKBA[NO]='LAMPIRAN-2020'!A30,DATAKBA[[TANGGAL]:[TARRA]],0),4,FALSE),"")</f>
        <v/>
      </c>
      <c r="G30" s="249" t="str">
        <f t="array" ref="G30">IFERROR(VLOOKUP($I$2,IF(DATAKBA[NO]='LAMPIRAN-2020'!A30,DATAKBA[[TANGGAL]:[TARRA]],0),5,FALSE),"")</f>
        <v/>
      </c>
      <c r="H30" s="251" t="str">
        <f t="array" ref="H30">IFERROR(VLOOKUP($I$2,IF(DATAKBA[NO]='LAMPIRAN-2020'!A30,DATAKBA[[TANGGAL]:[TARRA]],0),6,FALSE),"")</f>
        <v/>
      </c>
      <c r="I30" s="251" t="str">
        <f t="array" ref="I30">IFERROR(VLOOKUP($I$2,IF(DATAKBA[NO]='LAMPIRAN-2020'!A30,DATAKBA[[TANGGAL]:[TARRA]],0),7,FALSE),"")</f>
        <v/>
      </c>
      <c r="J30" s="251">
        <f t="shared" si="0"/>
        <v>0</v>
      </c>
      <c r="L30" s="216" t="str">
        <f t="shared" si="2"/>
        <v/>
      </c>
    </row>
    <row r="31" spans="1:12" s="34" customFormat="1" ht="18" hidden="1" customHeight="1">
      <c r="A31" s="34">
        <f t="shared" si="3"/>
        <v>26</v>
      </c>
      <c r="B31" s="34" t="str">
        <f t="shared" si="1"/>
        <v>DARAT</v>
      </c>
      <c r="D31" s="246" t="str">
        <f t="array" ref="D31">IFERROR(VLOOKUP($I$2,IF(DATAKBA[NO]='LAMPIRAN-2020'!A31,DATAKBA[[TANGGAL]:[TARRA]],0),2,FALSE),"")</f>
        <v/>
      </c>
      <c r="E31" s="247" t="str">
        <f t="array" ref="E31">IFERROR(VLOOKUP($I$2,IF(DATAKBA[NO]='LAMPIRAN-2020'!A31,DATAKBA[[TANGGAL]:[TARRA]],0),3,FALSE),"")</f>
        <v/>
      </c>
      <c r="F31" s="248" t="str">
        <f t="array" ref="F31">IFERROR(VLOOKUP($I$2,IF(DATAKBA[NO]='LAMPIRAN-2020'!A31,DATAKBA[[TANGGAL]:[TARRA]],0),4,FALSE),"")</f>
        <v/>
      </c>
      <c r="G31" s="249" t="str">
        <f t="array" ref="G31">IFERROR(VLOOKUP($I$2,IF(DATAKBA[NO]='LAMPIRAN-2020'!A31,DATAKBA[[TANGGAL]:[TARRA]],0),5,FALSE),"")</f>
        <v/>
      </c>
      <c r="H31" s="251" t="str">
        <f t="array" ref="H31">IFERROR(VLOOKUP($I$2,IF(DATAKBA[NO]='LAMPIRAN-2020'!A31,DATAKBA[[TANGGAL]:[TARRA]],0),6,FALSE),"")</f>
        <v/>
      </c>
      <c r="I31" s="251" t="str">
        <f t="array" ref="I31">IFERROR(VLOOKUP($I$2,IF(DATAKBA[NO]='LAMPIRAN-2020'!A31,DATAKBA[[TANGGAL]:[TARRA]],0),7,FALSE),"")</f>
        <v/>
      </c>
      <c r="J31" s="251">
        <f t="shared" si="0"/>
        <v>0</v>
      </c>
      <c r="L31" s="216" t="str">
        <f t="shared" si="2"/>
        <v/>
      </c>
    </row>
    <row r="32" spans="1:12" s="34" customFormat="1" ht="18" hidden="1" customHeight="1">
      <c r="A32" s="34">
        <f t="shared" si="3"/>
        <v>27</v>
      </c>
      <c r="B32" s="34" t="str">
        <f t="shared" si="1"/>
        <v>DARAT</v>
      </c>
      <c r="D32" s="246" t="str">
        <f t="array" ref="D32">IFERROR(VLOOKUP($I$2,IF(DATAKBA[NO]='LAMPIRAN-2020'!A32,DATAKBA[[TANGGAL]:[TARRA]],0),2,FALSE),"")</f>
        <v/>
      </c>
      <c r="E32" s="247" t="str">
        <f t="array" ref="E32">IFERROR(VLOOKUP($I$2,IF(DATAKBA[NO]='LAMPIRAN-2020'!A32,DATAKBA[[TANGGAL]:[TARRA]],0),3,FALSE),"")</f>
        <v/>
      </c>
      <c r="F32" s="248" t="str">
        <f t="array" ref="F32">IFERROR(VLOOKUP($I$2,IF(DATAKBA[NO]='LAMPIRAN-2020'!A32,DATAKBA[[TANGGAL]:[TARRA]],0),4,FALSE),"")</f>
        <v/>
      </c>
      <c r="G32" s="249" t="str">
        <f t="array" ref="G32">IFERROR(VLOOKUP($I$2,IF(DATAKBA[NO]='LAMPIRAN-2020'!A32,DATAKBA[[TANGGAL]:[TARRA]],0),5,FALSE),"")</f>
        <v/>
      </c>
      <c r="H32" s="251" t="str">
        <f t="array" ref="H32">IFERROR(VLOOKUP($I$2,IF(DATAKBA[NO]='LAMPIRAN-2020'!A32,DATAKBA[[TANGGAL]:[TARRA]],0),6,FALSE),"")</f>
        <v/>
      </c>
      <c r="I32" s="251" t="str">
        <f t="array" ref="I32">IFERROR(VLOOKUP($I$2,IF(DATAKBA[NO]='LAMPIRAN-2020'!A32,DATAKBA[[TANGGAL]:[TARRA]],0),7,FALSE),"")</f>
        <v/>
      </c>
      <c r="J32" s="251">
        <f t="shared" si="0"/>
        <v>0</v>
      </c>
      <c r="L32" s="216" t="str">
        <f t="shared" si="2"/>
        <v/>
      </c>
    </row>
    <row r="33" spans="1:12" s="34" customFormat="1" ht="18" hidden="1" customHeight="1">
      <c r="A33" s="34">
        <f t="shared" si="3"/>
        <v>28</v>
      </c>
      <c r="B33" s="34" t="str">
        <f t="shared" si="1"/>
        <v>DARAT</v>
      </c>
      <c r="D33" s="246" t="str">
        <f t="array" ref="D33">IFERROR(VLOOKUP($I$2,IF(DATAKBA[NO]='LAMPIRAN-2020'!A33,DATAKBA[[TANGGAL]:[TARRA]],0),2,FALSE),"")</f>
        <v/>
      </c>
      <c r="E33" s="247" t="str">
        <f t="array" ref="E33">IFERROR(VLOOKUP($I$2,IF(DATAKBA[NO]='LAMPIRAN-2020'!A33,DATAKBA[[TANGGAL]:[TARRA]],0),3,FALSE),"")</f>
        <v/>
      </c>
      <c r="F33" s="248" t="str">
        <f t="array" ref="F33">IFERROR(VLOOKUP($I$2,IF(DATAKBA[NO]='LAMPIRAN-2020'!A33,DATAKBA[[TANGGAL]:[TARRA]],0),4,FALSE),"")</f>
        <v/>
      </c>
      <c r="G33" s="249" t="str">
        <f t="array" ref="G33">IFERROR(VLOOKUP($I$2,IF(DATAKBA[NO]='LAMPIRAN-2020'!A33,DATAKBA[[TANGGAL]:[TARRA]],0),5,FALSE),"")</f>
        <v/>
      </c>
      <c r="H33" s="251" t="str">
        <f t="array" ref="H33">IFERROR(VLOOKUP($I$2,IF(DATAKBA[NO]='LAMPIRAN-2020'!A33,DATAKBA[[TANGGAL]:[TARRA]],0),6,FALSE),"")</f>
        <v/>
      </c>
      <c r="I33" s="251" t="str">
        <f t="array" ref="I33">IFERROR(VLOOKUP($I$2,IF(DATAKBA[NO]='LAMPIRAN-2020'!A33,DATAKBA[[TANGGAL]:[TARRA]],0),7,FALSE),"")</f>
        <v/>
      </c>
      <c r="J33" s="251">
        <f t="shared" si="0"/>
        <v>0</v>
      </c>
      <c r="L33" s="216" t="str">
        <f t="shared" si="2"/>
        <v/>
      </c>
    </row>
    <row r="34" spans="1:12" s="34" customFormat="1" ht="18" hidden="1" customHeight="1">
      <c r="A34" s="34">
        <f t="shared" si="3"/>
        <v>29</v>
      </c>
      <c r="B34" s="34" t="str">
        <f t="shared" si="1"/>
        <v>DARAT</v>
      </c>
      <c r="D34" s="246" t="str">
        <f t="array" ref="D34">IFERROR(VLOOKUP($I$2,IF(DATAKBA[NO]='LAMPIRAN-2020'!A34,DATAKBA[[TANGGAL]:[TARRA]],0),2,FALSE),"")</f>
        <v/>
      </c>
      <c r="E34" s="247" t="str">
        <f t="array" ref="E34">IFERROR(VLOOKUP($I$2,IF(DATAKBA[NO]='LAMPIRAN-2020'!A34,DATAKBA[[TANGGAL]:[TARRA]],0),3,FALSE),"")</f>
        <v/>
      </c>
      <c r="F34" s="248" t="str">
        <f t="array" ref="F34">IFERROR(VLOOKUP($I$2,IF(DATAKBA[NO]='LAMPIRAN-2020'!A34,DATAKBA[[TANGGAL]:[TARRA]],0),4,FALSE),"")</f>
        <v/>
      </c>
      <c r="G34" s="249" t="str">
        <f t="array" ref="G34">IFERROR(VLOOKUP($I$2,IF(DATAKBA[NO]='LAMPIRAN-2020'!A34,DATAKBA[[TANGGAL]:[TARRA]],0),5,FALSE),"")</f>
        <v/>
      </c>
      <c r="H34" s="251" t="str">
        <f t="array" ref="H34">IFERROR(VLOOKUP($I$2,IF(DATAKBA[NO]='LAMPIRAN-2020'!A34,DATAKBA[[TANGGAL]:[TARRA]],0),6,FALSE),"")</f>
        <v/>
      </c>
      <c r="I34" s="251" t="str">
        <f t="array" ref="I34">IFERROR(VLOOKUP($I$2,IF(DATAKBA[NO]='LAMPIRAN-2020'!A34,DATAKBA[[TANGGAL]:[TARRA]],0),7,FALSE),"")</f>
        <v/>
      </c>
      <c r="J34" s="251">
        <f t="shared" si="0"/>
        <v>0</v>
      </c>
      <c r="L34" s="216" t="str">
        <f t="shared" si="2"/>
        <v/>
      </c>
    </row>
    <row r="35" spans="1:12" s="34" customFormat="1" ht="18" hidden="1" customHeight="1">
      <c r="A35" s="34">
        <f t="shared" si="3"/>
        <v>30</v>
      </c>
      <c r="B35" s="34" t="str">
        <f t="shared" si="1"/>
        <v>DARAT</v>
      </c>
      <c r="D35" s="246" t="str">
        <f t="array" ref="D35">IFERROR(VLOOKUP($I$2,IF(DATAKBA[NO]='LAMPIRAN-2020'!A35,DATAKBA[[TANGGAL]:[TARRA]],0),2,FALSE),"")</f>
        <v/>
      </c>
      <c r="E35" s="247" t="str">
        <f t="array" ref="E35">IFERROR(VLOOKUP($I$2,IF(DATAKBA[NO]='LAMPIRAN-2020'!A35,DATAKBA[[TANGGAL]:[TARRA]],0),3,FALSE),"")</f>
        <v/>
      </c>
      <c r="F35" s="248" t="str">
        <f t="array" ref="F35">IFERROR(VLOOKUP($I$2,IF(DATAKBA[NO]='LAMPIRAN-2020'!A35,DATAKBA[[TANGGAL]:[TARRA]],0),4,FALSE),"")</f>
        <v/>
      </c>
      <c r="G35" s="249" t="str">
        <f t="array" ref="G35">IFERROR(VLOOKUP($I$2,IF(DATAKBA[NO]='LAMPIRAN-2020'!A35,DATAKBA[[TANGGAL]:[TARRA]],0),5,FALSE),"")</f>
        <v/>
      </c>
      <c r="H35" s="251" t="str">
        <f t="array" ref="H35">IFERROR(VLOOKUP($I$2,IF(DATAKBA[NO]='LAMPIRAN-2020'!A35,DATAKBA[[TANGGAL]:[TARRA]],0),6,FALSE),"")</f>
        <v/>
      </c>
      <c r="I35" s="251" t="str">
        <f t="array" ref="I35">IFERROR(VLOOKUP($I$2,IF(DATAKBA[NO]='LAMPIRAN-2020'!A35,DATAKBA[[TANGGAL]:[TARRA]],0),7,FALSE),"")</f>
        <v/>
      </c>
      <c r="J35" s="251">
        <f t="shared" si="0"/>
        <v>0</v>
      </c>
      <c r="L35" s="216" t="str">
        <f t="shared" si="2"/>
        <v/>
      </c>
    </row>
    <row r="36" spans="1:12" s="34" customFormat="1" ht="18" hidden="1" customHeight="1">
      <c r="A36" s="34">
        <f t="shared" si="3"/>
        <v>31</v>
      </c>
      <c r="B36" s="34" t="str">
        <f t="shared" si="1"/>
        <v>DARAT</v>
      </c>
      <c r="D36" s="246" t="str">
        <f t="array" ref="D36">IFERROR(VLOOKUP($I$2,IF(DATAKBA[NO]='LAMPIRAN-2020'!A36,DATAKBA[[TANGGAL]:[TARRA]],0),2,FALSE),"")</f>
        <v/>
      </c>
      <c r="E36" s="247" t="str">
        <f t="array" ref="E36">IFERROR(VLOOKUP($I$2,IF(DATAKBA[NO]='LAMPIRAN-2020'!A36,DATAKBA[[TANGGAL]:[TARRA]],0),3,FALSE),"")</f>
        <v/>
      </c>
      <c r="F36" s="248" t="str">
        <f t="array" ref="F36">IFERROR(VLOOKUP($I$2,IF(DATAKBA[NO]='LAMPIRAN-2020'!A36,DATAKBA[[TANGGAL]:[TARRA]],0),4,FALSE),"")</f>
        <v/>
      </c>
      <c r="G36" s="249" t="str">
        <f t="array" ref="G36">IFERROR(VLOOKUP($I$2,IF(DATAKBA[NO]='LAMPIRAN-2020'!A36,DATAKBA[[TANGGAL]:[TARRA]],0),5,FALSE),"")</f>
        <v/>
      </c>
      <c r="H36" s="251" t="str">
        <f t="array" ref="H36">IFERROR(VLOOKUP($I$2,IF(DATAKBA[NO]='LAMPIRAN-2020'!A36,DATAKBA[[TANGGAL]:[TARRA]],0),6,FALSE),"")</f>
        <v/>
      </c>
      <c r="I36" s="251" t="str">
        <f t="array" ref="I36">IFERROR(VLOOKUP($I$2,IF(DATAKBA[NO]='LAMPIRAN-2020'!A36,DATAKBA[[TANGGAL]:[TARRA]],0),7,FALSE),"")</f>
        <v/>
      </c>
      <c r="J36" s="251">
        <f t="shared" si="0"/>
        <v>0</v>
      </c>
      <c r="L36" s="216" t="str">
        <f t="shared" si="2"/>
        <v/>
      </c>
    </row>
    <row r="37" spans="1:12" s="34" customFormat="1" ht="18" hidden="1" customHeight="1">
      <c r="A37" s="34">
        <f t="shared" si="3"/>
        <v>32</v>
      </c>
      <c r="B37" s="34" t="str">
        <f t="shared" si="1"/>
        <v>DARAT</v>
      </c>
      <c r="D37" s="246" t="str">
        <f t="array" ref="D37">IFERROR(VLOOKUP($I$2,IF(DATAKBA[NO]='LAMPIRAN-2020'!A37,DATAKBA[[TANGGAL]:[TARRA]],0),2,FALSE),"")</f>
        <v/>
      </c>
      <c r="E37" s="247" t="str">
        <f t="array" ref="E37">IFERROR(VLOOKUP($I$2,IF(DATAKBA[NO]='LAMPIRAN-2020'!A37,DATAKBA[[TANGGAL]:[TARRA]],0),3,FALSE),"")</f>
        <v/>
      </c>
      <c r="F37" s="248" t="str">
        <f t="array" ref="F37">IFERROR(VLOOKUP($I$2,IF(DATAKBA[NO]='LAMPIRAN-2020'!A37,DATAKBA[[TANGGAL]:[TARRA]],0),4,FALSE),"")</f>
        <v/>
      </c>
      <c r="G37" s="249" t="str">
        <f t="array" ref="G37">IFERROR(VLOOKUP($I$2,IF(DATAKBA[NO]='LAMPIRAN-2020'!A37,DATAKBA[[TANGGAL]:[TARRA]],0),5,FALSE),"")</f>
        <v/>
      </c>
      <c r="H37" s="251" t="str">
        <f t="array" ref="H37">IFERROR(VLOOKUP($I$2,IF(DATAKBA[NO]='LAMPIRAN-2020'!A37,DATAKBA[[TANGGAL]:[TARRA]],0),6,FALSE),"")</f>
        <v/>
      </c>
      <c r="I37" s="251" t="str">
        <f t="array" ref="I37">IFERROR(VLOOKUP($I$2,IF(DATAKBA[NO]='LAMPIRAN-2020'!A37,DATAKBA[[TANGGAL]:[TARRA]],0),7,FALSE),"")</f>
        <v/>
      </c>
      <c r="J37" s="251">
        <f t="shared" si="0"/>
        <v>0</v>
      </c>
      <c r="L37" s="216" t="str">
        <f t="shared" si="2"/>
        <v/>
      </c>
    </row>
    <row r="38" spans="1:12" s="34" customFormat="1" ht="18" hidden="1" customHeight="1">
      <c r="A38" s="34">
        <f t="shared" si="3"/>
        <v>33</v>
      </c>
      <c r="B38" s="34" t="str">
        <f t="shared" si="1"/>
        <v>DARAT</v>
      </c>
      <c r="D38" s="246" t="str">
        <f t="array" ref="D38">IFERROR(VLOOKUP($I$2,IF(DATAKBA[NO]='LAMPIRAN-2020'!A38,DATAKBA[[TANGGAL]:[TARRA]],0),2,FALSE),"")</f>
        <v/>
      </c>
      <c r="E38" s="247" t="str">
        <f t="array" ref="E38">IFERROR(VLOOKUP($I$2,IF(DATAKBA[NO]='LAMPIRAN-2020'!A38,DATAKBA[[TANGGAL]:[TARRA]],0),3,FALSE),"")</f>
        <v/>
      </c>
      <c r="F38" s="248" t="str">
        <f t="array" ref="F38">IFERROR(VLOOKUP($I$2,IF(DATAKBA[NO]='LAMPIRAN-2020'!A38,DATAKBA[[TANGGAL]:[TARRA]],0),4,FALSE),"")</f>
        <v/>
      </c>
      <c r="G38" s="249" t="str">
        <f t="array" ref="G38">IFERROR(VLOOKUP($I$2,IF(DATAKBA[NO]='LAMPIRAN-2020'!A38,DATAKBA[[TANGGAL]:[TARRA]],0),5,FALSE),"")</f>
        <v/>
      </c>
      <c r="H38" s="251" t="str">
        <f t="array" ref="H38">IFERROR(VLOOKUP($I$2,IF(DATAKBA[NO]='LAMPIRAN-2020'!A38,DATAKBA[[TANGGAL]:[TARRA]],0),6,FALSE),"")</f>
        <v/>
      </c>
      <c r="I38" s="251" t="str">
        <f t="array" ref="I38">IFERROR(VLOOKUP($I$2,IF(DATAKBA[NO]='LAMPIRAN-2020'!A38,DATAKBA[[TANGGAL]:[TARRA]],0),7,FALSE),"")</f>
        <v/>
      </c>
      <c r="J38" s="251">
        <f t="shared" si="0"/>
        <v>0</v>
      </c>
      <c r="L38" s="216" t="str">
        <f t="shared" si="2"/>
        <v/>
      </c>
    </row>
    <row r="39" spans="1:12" s="34" customFormat="1" ht="18" hidden="1" customHeight="1">
      <c r="A39" s="34">
        <f t="shared" si="3"/>
        <v>34</v>
      </c>
      <c r="B39" s="34" t="str">
        <f t="shared" si="1"/>
        <v>DARAT</v>
      </c>
      <c r="D39" s="246" t="str">
        <f t="array" ref="D39">IFERROR(VLOOKUP($I$2,IF(DATAKBA[NO]='LAMPIRAN-2020'!A39,DATAKBA[[TANGGAL]:[TARRA]],0),2,FALSE),"")</f>
        <v/>
      </c>
      <c r="E39" s="247" t="str">
        <f t="array" ref="E39">IFERROR(VLOOKUP($I$2,IF(DATAKBA[NO]='LAMPIRAN-2020'!A39,DATAKBA[[TANGGAL]:[TARRA]],0),3,FALSE),"")</f>
        <v/>
      </c>
      <c r="F39" s="248" t="str">
        <f t="array" ref="F39">IFERROR(VLOOKUP($I$2,IF(DATAKBA[NO]='LAMPIRAN-2020'!A39,DATAKBA[[TANGGAL]:[TARRA]],0),4,FALSE),"")</f>
        <v/>
      </c>
      <c r="G39" s="249" t="str">
        <f t="array" ref="G39">IFERROR(VLOOKUP($I$2,IF(DATAKBA[NO]='LAMPIRAN-2020'!A39,DATAKBA[[TANGGAL]:[TARRA]],0),5,FALSE),"")</f>
        <v/>
      </c>
      <c r="H39" s="251" t="str">
        <f t="array" ref="H39">IFERROR(VLOOKUP($I$2,IF(DATAKBA[NO]='LAMPIRAN-2020'!A39,DATAKBA[[TANGGAL]:[TARRA]],0),6,FALSE),"")</f>
        <v/>
      </c>
      <c r="I39" s="251" t="str">
        <f t="array" ref="I39">IFERROR(VLOOKUP($I$2,IF(DATAKBA[NO]='LAMPIRAN-2020'!A39,DATAKBA[[TANGGAL]:[TARRA]],0),7,FALSE),"")</f>
        <v/>
      </c>
      <c r="J39" s="251">
        <f t="shared" si="0"/>
        <v>0</v>
      </c>
      <c r="L39" s="216" t="str">
        <f t="shared" si="2"/>
        <v/>
      </c>
    </row>
    <row r="40" spans="1:12" s="34" customFormat="1" ht="18" hidden="1" customHeight="1">
      <c r="A40" s="34">
        <f t="shared" si="3"/>
        <v>35</v>
      </c>
      <c r="B40" s="34" t="str">
        <f t="shared" si="1"/>
        <v>DARAT</v>
      </c>
      <c r="D40" s="246" t="str">
        <f t="array" ref="D40">IFERROR(VLOOKUP($I$2,IF(DATAKBA[NO]='LAMPIRAN-2020'!A40,DATAKBA[[TANGGAL]:[TARRA]],0),2,FALSE),"")</f>
        <v/>
      </c>
      <c r="E40" s="247" t="str">
        <f t="array" ref="E40">IFERROR(VLOOKUP($I$2,IF(DATAKBA[NO]='LAMPIRAN-2020'!A40,DATAKBA[[TANGGAL]:[TARRA]],0),3,FALSE),"")</f>
        <v/>
      </c>
      <c r="F40" s="248" t="str">
        <f t="array" ref="F40">IFERROR(VLOOKUP($I$2,IF(DATAKBA[NO]='LAMPIRAN-2020'!A40,DATAKBA[[TANGGAL]:[TARRA]],0),4,FALSE),"")</f>
        <v/>
      </c>
      <c r="G40" s="249" t="str">
        <f t="array" ref="G40">IFERROR(VLOOKUP($I$2,IF(DATAKBA[NO]='LAMPIRAN-2020'!A40,DATAKBA[[TANGGAL]:[TARRA]],0),5,FALSE),"")</f>
        <v/>
      </c>
      <c r="H40" s="251" t="str">
        <f t="array" ref="H40">IFERROR(VLOOKUP($I$2,IF(DATAKBA[NO]='LAMPIRAN-2020'!A40,DATAKBA[[TANGGAL]:[TARRA]],0),6,FALSE),"")</f>
        <v/>
      </c>
      <c r="I40" s="251" t="str">
        <f t="array" ref="I40">IFERROR(VLOOKUP($I$2,IF(DATAKBA[NO]='LAMPIRAN-2020'!A40,DATAKBA[[TANGGAL]:[TARRA]],0),7,FALSE),"")</f>
        <v/>
      </c>
      <c r="J40" s="251">
        <f t="shared" si="0"/>
        <v>0</v>
      </c>
      <c r="L40" s="216" t="str">
        <f t="shared" si="2"/>
        <v/>
      </c>
    </row>
    <row r="41" spans="1:12" s="34" customFormat="1" ht="18" hidden="1" customHeight="1">
      <c r="A41" s="34">
        <f t="shared" si="3"/>
        <v>36</v>
      </c>
      <c r="B41" s="34" t="str">
        <f t="shared" si="1"/>
        <v>DARAT</v>
      </c>
      <c r="D41" s="246" t="str">
        <f t="array" ref="D41">IFERROR(VLOOKUP($I$2,IF(DATAKBA[NO]='LAMPIRAN-2020'!A41,DATAKBA[[TANGGAL]:[TARRA]],0),2,FALSE),"")</f>
        <v/>
      </c>
      <c r="E41" s="247" t="str">
        <f t="array" ref="E41">IFERROR(VLOOKUP($I$2,IF(DATAKBA[NO]='LAMPIRAN-2020'!A41,DATAKBA[[TANGGAL]:[TARRA]],0),3,FALSE),"")</f>
        <v/>
      </c>
      <c r="F41" s="248" t="str">
        <f t="array" ref="F41">IFERROR(VLOOKUP($I$2,IF(DATAKBA[NO]='LAMPIRAN-2020'!A41,DATAKBA[[TANGGAL]:[TARRA]],0),4,FALSE),"")</f>
        <v/>
      </c>
      <c r="G41" s="249" t="str">
        <f t="array" ref="G41">IFERROR(VLOOKUP($I$2,IF(DATAKBA[NO]='LAMPIRAN-2020'!A41,DATAKBA[[TANGGAL]:[TARRA]],0),5,FALSE),"")</f>
        <v/>
      </c>
      <c r="H41" s="251" t="str">
        <f t="array" ref="H41">IFERROR(VLOOKUP($I$2,IF(DATAKBA[NO]='LAMPIRAN-2020'!A41,DATAKBA[[TANGGAL]:[TARRA]],0),6,FALSE),"")</f>
        <v/>
      </c>
      <c r="I41" s="251" t="str">
        <f t="array" ref="I41">IFERROR(VLOOKUP($I$2,IF(DATAKBA[NO]='LAMPIRAN-2020'!A41,DATAKBA[[TANGGAL]:[TARRA]],0),7,FALSE),"")</f>
        <v/>
      </c>
      <c r="J41" s="251">
        <f t="shared" si="0"/>
        <v>0</v>
      </c>
      <c r="L41" s="216" t="str">
        <f t="shared" si="2"/>
        <v/>
      </c>
    </row>
    <row r="42" spans="1:12" s="34" customFormat="1" ht="18" hidden="1" customHeight="1">
      <c r="A42" s="34">
        <f t="shared" si="3"/>
        <v>37</v>
      </c>
      <c r="B42" s="34" t="str">
        <f t="shared" si="1"/>
        <v>DARAT</v>
      </c>
      <c r="D42" s="246" t="str">
        <f t="array" ref="D42">IFERROR(VLOOKUP($I$2,IF(DATAKBA[NO]='LAMPIRAN-2020'!A42,DATAKBA[[TANGGAL]:[TARRA]],0),2,FALSE),"")</f>
        <v/>
      </c>
      <c r="E42" s="247" t="str">
        <f t="array" ref="E42">IFERROR(VLOOKUP($I$2,IF(DATAKBA[NO]='LAMPIRAN-2020'!A42,DATAKBA[[TANGGAL]:[TARRA]],0),3,FALSE),"")</f>
        <v/>
      </c>
      <c r="F42" s="248" t="str">
        <f t="array" ref="F42">IFERROR(VLOOKUP($I$2,IF(DATAKBA[NO]='LAMPIRAN-2020'!A42,DATAKBA[[TANGGAL]:[TARRA]],0),4,FALSE),"")</f>
        <v/>
      </c>
      <c r="G42" s="249" t="str">
        <f t="array" ref="G42">IFERROR(VLOOKUP($I$2,IF(DATAKBA[NO]='LAMPIRAN-2020'!A42,DATAKBA[[TANGGAL]:[TARRA]],0),5,FALSE),"")</f>
        <v/>
      </c>
      <c r="H42" s="251" t="str">
        <f t="array" ref="H42">IFERROR(VLOOKUP($I$2,IF(DATAKBA[NO]='LAMPIRAN-2020'!A42,DATAKBA[[TANGGAL]:[TARRA]],0),6,FALSE),"")</f>
        <v/>
      </c>
      <c r="I42" s="251" t="str">
        <f t="array" ref="I42">IFERROR(VLOOKUP($I$2,IF(DATAKBA[NO]='LAMPIRAN-2020'!A42,DATAKBA[[TANGGAL]:[TARRA]],0),7,FALSE),"")</f>
        <v/>
      </c>
      <c r="J42" s="251">
        <f t="shared" si="0"/>
        <v>0</v>
      </c>
      <c r="L42" s="216" t="str">
        <f t="shared" si="2"/>
        <v/>
      </c>
    </row>
    <row r="43" spans="1:12" s="34" customFormat="1" ht="18" hidden="1" customHeight="1">
      <c r="A43" s="34">
        <f t="shared" si="3"/>
        <v>38</v>
      </c>
      <c r="B43" s="34" t="str">
        <f t="shared" si="1"/>
        <v>DARAT</v>
      </c>
      <c r="D43" s="246" t="str">
        <f t="array" ref="D43">IFERROR(VLOOKUP($I$2,IF(DATAKBA[NO]='LAMPIRAN-2020'!A43,DATAKBA[[TANGGAL]:[TARRA]],0),2,FALSE),"")</f>
        <v/>
      </c>
      <c r="E43" s="247" t="str">
        <f t="array" ref="E43">IFERROR(VLOOKUP($I$2,IF(DATAKBA[NO]='LAMPIRAN-2020'!A43,DATAKBA[[TANGGAL]:[TARRA]],0),3,FALSE),"")</f>
        <v/>
      </c>
      <c r="F43" s="248" t="str">
        <f t="array" ref="F43">IFERROR(VLOOKUP($I$2,IF(DATAKBA[NO]='LAMPIRAN-2020'!A43,DATAKBA[[TANGGAL]:[TARRA]],0),4,FALSE),"")</f>
        <v/>
      </c>
      <c r="G43" s="249" t="str">
        <f t="array" ref="G43">IFERROR(VLOOKUP($I$2,IF(DATAKBA[NO]='LAMPIRAN-2020'!A43,DATAKBA[[TANGGAL]:[TARRA]],0),5,FALSE),"")</f>
        <v/>
      </c>
      <c r="H43" s="251" t="str">
        <f t="array" ref="H43">IFERROR(VLOOKUP($I$2,IF(DATAKBA[NO]='LAMPIRAN-2020'!A43,DATAKBA[[TANGGAL]:[TARRA]],0),6,FALSE),"")</f>
        <v/>
      </c>
      <c r="I43" s="251" t="str">
        <f t="array" ref="I43">IFERROR(VLOOKUP($I$2,IF(DATAKBA[NO]='LAMPIRAN-2020'!A43,DATAKBA[[TANGGAL]:[TARRA]],0),7,FALSE),"")</f>
        <v/>
      </c>
      <c r="J43" s="251">
        <f t="shared" si="0"/>
        <v>0</v>
      </c>
      <c r="L43" s="216" t="str">
        <f t="shared" si="2"/>
        <v/>
      </c>
    </row>
    <row r="44" spans="1:12" s="34" customFormat="1" ht="18" hidden="1" customHeight="1">
      <c r="A44" s="34">
        <f t="shared" si="3"/>
        <v>39</v>
      </c>
      <c r="B44" s="34" t="str">
        <f t="shared" si="1"/>
        <v>DARAT</v>
      </c>
      <c r="D44" s="246" t="str">
        <f t="array" ref="D44">IFERROR(VLOOKUP($I$2,IF(DATAKBA[NO]='LAMPIRAN-2020'!A44,DATAKBA[[TANGGAL]:[TARRA]],0),2,FALSE),"")</f>
        <v/>
      </c>
      <c r="E44" s="247" t="str">
        <f t="array" ref="E44">IFERROR(VLOOKUP($I$2,IF(DATAKBA[NO]='LAMPIRAN-2020'!A44,DATAKBA[[TANGGAL]:[TARRA]],0),3,FALSE),"")</f>
        <v/>
      </c>
      <c r="F44" s="248" t="str">
        <f t="array" ref="F44">IFERROR(VLOOKUP($I$2,IF(DATAKBA[NO]='LAMPIRAN-2020'!A44,DATAKBA[[TANGGAL]:[TARRA]],0),4,FALSE),"")</f>
        <v/>
      </c>
      <c r="G44" s="249" t="str">
        <f t="array" ref="G44">IFERROR(VLOOKUP($I$2,IF(DATAKBA[NO]='LAMPIRAN-2020'!A44,DATAKBA[[TANGGAL]:[TARRA]],0),5,FALSE),"")</f>
        <v/>
      </c>
      <c r="H44" s="251" t="str">
        <f t="array" ref="H44">IFERROR(VLOOKUP($I$2,IF(DATAKBA[NO]='LAMPIRAN-2020'!A44,DATAKBA[[TANGGAL]:[TARRA]],0),6,FALSE),"")</f>
        <v/>
      </c>
      <c r="I44" s="251" t="str">
        <f t="array" ref="I44">IFERROR(VLOOKUP($I$2,IF(DATAKBA[NO]='LAMPIRAN-2020'!A44,DATAKBA[[TANGGAL]:[TARRA]],0),7,FALSE),"")</f>
        <v/>
      </c>
      <c r="J44" s="251">
        <f t="shared" si="0"/>
        <v>0</v>
      </c>
      <c r="L44" s="216" t="str">
        <f t="shared" si="2"/>
        <v/>
      </c>
    </row>
    <row r="45" spans="1:12" s="34" customFormat="1" ht="18" hidden="1" customHeight="1">
      <c r="A45" s="34">
        <f t="shared" si="3"/>
        <v>40</v>
      </c>
      <c r="B45" s="34" t="str">
        <f t="shared" si="1"/>
        <v>DARAT</v>
      </c>
      <c r="D45" s="246" t="str">
        <f t="array" ref="D45">IFERROR(VLOOKUP($I$2,IF(DATAKBA[NO]='LAMPIRAN-2020'!A45,DATAKBA[[TANGGAL]:[TARRA]],0),2,FALSE),"")</f>
        <v/>
      </c>
      <c r="E45" s="247" t="str">
        <f t="array" ref="E45">IFERROR(VLOOKUP($I$2,IF(DATAKBA[NO]='LAMPIRAN-2020'!A45,DATAKBA[[TANGGAL]:[TARRA]],0),3,FALSE),"")</f>
        <v/>
      </c>
      <c r="F45" s="248" t="str">
        <f t="array" ref="F45">IFERROR(VLOOKUP($I$2,IF(DATAKBA[NO]='LAMPIRAN-2020'!A45,DATAKBA[[TANGGAL]:[TARRA]],0),4,FALSE),"")</f>
        <v/>
      </c>
      <c r="G45" s="249" t="str">
        <f t="array" ref="G45">IFERROR(VLOOKUP($I$2,IF(DATAKBA[NO]='LAMPIRAN-2020'!A45,DATAKBA[[TANGGAL]:[TARRA]],0),5,FALSE),"")</f>
        <v/>
      </c>
      <c r="H45" s="251" t="str">
        <f t="array" ref="H45">IFERROR(VLOOKUP($I$2,IF(DATAKBA[NO]='LAMPIRAN-2020'!A45,DATAKBA[[TANGGAL]:[TARRA]],0),6,FALSE),"")</f>
        <v/>
      </c>
      <c r="I45" s="251" t="str">
        <f t="array" ref="I45">IFERROR(VLOOKUP($I$2,IF(DATAKBA[NO]='LAMPIRAN-2020'!A45,DATAKBA[[TANGGAL]:[TARRA]],0),7,FALSE),"")</f>
        <v/>
      </c>
      <c r="J45" s="251">
        <f t="shared" si="0"/>
        <v>0</v>
      </c>
      <c r="L45" s="216" t="str">
        <f t="shared" si="2"/>
        <v/>
      </c>
    </row>
    <row r="46" spans="1:12" s="34" customFormat="1" ht="18" hidden="1" customHeight="1">
      <c r="A46" s="34">
        <f t="shared" si="3"/>
        <v>41</v>
      </c>
      <c r="B46" s="34" t="str">
        <f t="shared" si="1"/>
        <v>DARAT</v>
      </c>
      <c r="D46" s="246" t="str">
        <f t="array" ref="D46">IFERROR(VLOOKUP($I$2,IF(DATAKBA[NO]='LAMPIRAN-2020'!A46,DATAKBA[[TANGGAL]:[TARRA]],0),2,FALSE),"")</f>
        <v/>
      </c>
      <c r="E46" s="247" t="str">
        <f t="array" ref="E46">IFERROR(VLOOKUP($I$2,IF(DATAKBA[NO]='LAMPIRAN-2020'!A46,DATAKBA[[TANGGAL]:[TARRA]],0),3,FALSE),"")</f>
        <v/>
      </c>
      <c r="F46" s="248" t="str">
        <f t="array" ref="F46">IFERROR(VLOOKUP($I$2,IF(DATAKBA[NO]='LAMPIRAN-2020'!A46,DATAKBA[[TANGGAL]:[TARRA]],0),4,FALSE),"")</f>
        <v/>
      </c>
      <c r="G46" s="249" t="str">
        <f t="array" ref="G46">IFERROR(VLOOKUP($I$2,IF(DATAKBA[NO]='LAMPIRAN-2020'!A46,DATAKBA[[TANGGAL]:[TARRA]],0),5,FALSE),"")</f>
        <v/>
      </c>
      <c r="H46" s="251" t="str">
        <f t="array" ref="H46">IFERROR(VLOOKUP($I$2,IF(DATAKBA[NO]='LAMPIRAN-2020'!A46,DATAKBA[[TANGGAL]:[TARRA]],0),6,FALSE),"")</f>
        <v/>
      </c>
      <c r="I46" s="251" t="str">
        <f t="array" ref="I46">IFERROR(VLOOKUP($I$2,IF(DATAKBA[NO]='LAMPIRAN-2020'!A46,DATAKBA[[TANGGAL]:[TARRA]],0),7,FALSE),"")</f>
        <v/>
      </c>
      <c r="J46" s="251">
        <f t="shared" si="0"/>
        <v>0</v>
      </c>
      <c r="L46" s="216" t="str">
        <f t="shared" si="2"/>
        <v/>
      </c>
    </row>
    <row r="47" spans="1:12" s="34" customFormat="1" ht="18" hidden="1" customHeight="1">
      <c r="A47" s="34">
        <f t="shared" si="3"/>
        <v>42</v>
      </c>
      <c r="B47" s="34" t="str">
        <f t="shared" si="1"/>
        <v>DARAT</v>
      </c>
      <c r="D47" s="246" t="str">
        <f t="array" ref="D47">IFERROR(VLOOKUP($I$2,IF(DATAKBA[NO]='LAMPIRAN-2020'!A47,DATAKBA[[TANGGAL]:[TARRA]],0),2,FALSE),"")</f>
        <v/>
      </c>
      <c r="E47" s="247" t="str">
        <f t="array" ref="E47">IFERROR(VLOOKUP($I$2,IF(DATAKBA[NO]='LAMPIRAN-2020'!A47,DATAKBA[[TANGGAL]:[TARRA]],0),3,FALSE),"")</f>
        <v/>
      </c>
      <c r="F47" s="248" t="str">
        <f t="array" ref="F47">IFERROR(VLOOKUP($I$2,IF(DATAKBA[NO]='LAMPIRAN-2020'!A47,DATAKBA[[TANGGAL]:[TARRA]],0),4,FALSE),"")</f>
        <v/>
      </c>
      <c r="G47" s="249" t="str">
        <f t="array" ref="G47">IFERROR(VLOOKUP($I$2,IF(DATAKBA[NO]='LAMPIRAN-2020'!A47,DATAKBA[[TANGGAL]:[TARRA]],0),5,FALSE),"")</f>
        <v/>
      </c>
      <c r="H47" s="251" t="str">
        <f t="array" ref="H47">IFERROR(VLOOKUP($I$2,IF(DATAKBA[NO]='LAMPIRAN-2020'!A47,DATAKBA[[TANGGAL]:[TARRA]],0),6,FALSE),"")</f>
        <v/>
      </c>
      <c r="I47" s="251" t="str">
        <f t="array" ref="I47">IFERROR(VLOOKUP($I$2,IF(DATAKBA[NO]='LAMPIRAN-2020'!A47,DATAKBA[[TANGGAL]:[TARRA]],0),7,FALSE),"")</f>
        <v/>
      </c>
      <c r="J47" s="251">
        <f t="shared" si="0"/>
        <v>0</v>
      </c>
      <c r="L47" s="216" t="str">
        <f t="shared" si="2"/>
        <v/>
      </c>
    </row>
    <row r="48" spans="1:12" s="34" customFormat="1" ht="18" hidden="1" customHeight="1">
      <c r="A48" s="34">
        <f t="shared" si="3"/>
        <v>43</v>
      </c>
      <c r="B48" s="34" t="str">
        <f t="shared" si="1"/>
        <v>DARAT</v>
      </c>
      <c r="D48" s="246" t="str">
        <f t="array" ref="D48">IFERROR(VLOOKUP($I$2,IF(DATAKBA[NO]='LAMPIRAN-2020'!A48,DATAKBA[[TANGGAL]:[TARRA]],0),2,FALSE),"")</f>
        <v/>
      </c>
      <c r="E48" s="247" t="str">
        <f t="array" ref="E48">IFERROR(VLOOKUP($I$2,IF(DATAKBA[NO]='LAMPIRAN-2020'!A48,DATAKBA[[TANGGAL]:[TARRA]],0),3,FALSE),"")</f>
        <v/>
      </c>
      <c r="F48" s="248" t="str">
        <f t="array" ref="F48">IFERROR(VLOOKUP($I$2,IF(DATAKBA[NO]='LAMPIRAN-2020'!A48,DATAKBA[[TANGGAL]:[TARRA]],0),4,FALSE),"")</f>
        <v/>
      </c>
      <c r="G48" s="249" t="str">
        <f t="array" ref="G48">IFERROR(VLOOKUP($I$2,IF(DATAKBA[NO]='LAMPIRAN-2020'!A48,DATAKBA[[TANGGAL]:[TARRA]],0),5,FALSE),"")</f>
        <v/>
      </c>
      <c r="H48" s="251" t="str">
        <f t="array" ref="H48">IFERROR(VLOOKUP($I$2,IF(DATAKBA[NO]='LAMPIRAN-2020'!A48,DATAKBA[[TANGGAL]:[TARRA]],0),6,FALSE),"")</f>
        <v/>
      </c>
      <c r="I48" s="251" t="str">
        <f t="array" ref="I48">IFERROR(VLOOKUP($I$2,IF(DATAKBA[NO]='LAMPIRAN-2020'!A48,DATAKBA[[TANGGAL]:[TARRA]],0),7,FALSE),"")</f>
        <v/>
      </c>
      <c r="J48" s="251">
        <f t="shared" si="0"/>
        <v>0</v>
      </c>
      <c r="L48" s="216" t="str">
        <f t="shared" si="2"/>
        <v/>
      </c>
    </row>
    <row r="49" spans="1:17" s="34" customFormat="1" ht="18" hidden="1" customHeight="1">
      <c r="A49" s="34">
        <f t="shared" si="3"/>
        <v>44</v>
      </c>
      <c r="B49" s="34" t="str">
        <f t="shared" si="1"/>
        <v>DARAT</v>
      </c>
      <c r="D49" s="246" t="str">
        <f t="array" ref="D49">IFERROR(VLOOKUP($I$2,IF(DATAKBA[NO]='LAMPIRAN-2020'!A49,DATAKBA[[TANGGAL]:[TARRA]],0),2,FALSE),"")</f>
        <v/>
      </c>
      <c r="E49" s="247" t="str">
        <f t="array" ref="E49">IFERROR(VLOOKUP($I$2,IF(DATAKBA[NO]='LAMPIRAN-2020'!A49,DATAKBA[[TANGGAL]:[TARRA]],0),3,FALSE),"")</f>
        <v/>
      </c>
      <c r="F49" s="248" t="str">
        <f t="array" ref="F49">IFERROR(VLOOKUP($I$2,IF(DATAKBA[NO]='LAMPIRAN-2020'!A49,DATAKBA[[TANGGAL]:[TARRA]],0),4,FALSE),"")</f>
        <v/>
      </c>
      <c r="G49" s="249" t="str">
        <f t="array" ref="G49">IFERROR(VLOOKUP($I$2,IF(DATAKBA[NO]='LAMPIRAN-2020'!A49,DATAKBA[[TANGGAL]:[TARRA]],0),5,FALSE),"")</f>
        <v/>
      </c>
      <c r="H49" s="251" t="str">
        <f t="array" ref="H49">IFERROR(VLOOKUP($I$2,IF(DATAKBA[NO]='LAMPIRAN-2020'!A49,DATAKBA[[TANGGAL]:[TARRA]],0),6,FALSE),"")</f>
        <v/>
      </c>
      <c r="I49" s="251" t="str">
        <f t="array" ref="I49">IFERROR(VLOOKUP($I$2,IF(DATAKBA[NO]='LAMPIRAN-2020'!A49,DATAKBA[[TANGGAL]:[TARRA]],0),7,FALSE),"")</f>
        <v/>
      </c>
      <c r="J49" s="251">
        <f t="shared" si="0"/>
        <v>0</v>
      </c>
      <c r="L49" s="216" t="str">
        <f t="shared" si="2"/>
        <v/>
      </c>
    </row>
    <row r="50" spans="1:17" s="34" customFormat="1" ht="18" hidden="1" customHeight="1">
      <c r="A50" s="34">
        <f t="shared" si="3"/>
        <v>45</v>
      </c>
      <c r="B50" s="34" t="str">
        <f t="shared" si="1"/>
        <v>DARAT</v>
      </c>
      <c r="D50" s="246" t="str">
        <f t="array" ref="D50">IFERROR(VLOOKUP($I$2,IF(DATAKBA[NO]='LAMPIRAN-2020'!A50,DATAKBA[[TANGGAL]:[TARRA]],0),2,FALSE),"")</f>
        <v/>
      </c>
      <c r="E50" s="247" t="str">
        <f t="array" ref="E50">IFERROR(VLOOKUP($I$2,IF(DATAKBA[NO]='LAMPIRAN-2020'!A50,DATAKBA[[TANGGAL]:[TARRA]],0),3,FALSE),"")</f>
        <v/>
      </c>
      <c r="F50" s="248" t="str">
        <f t="array" ref="F50">IFERROR(VLOOKUP($I$2,IF(DATAKBA[NO]='LAMPIRAN-2020'!A50,DATAKBA[[TANGGAL]:[TARRA]],0),4,FALSE),"")</f>
        <v/>
      </c>
      <c r="G50" s="249" t="str">
        <f t="array" ref="G50">IFERROR(VLOOKUP($I$2,IF(DATAKBA[NO]='LAMPIRAN-2020'!A50,DATAKBA[[TANGGAL]:[TARRA]],0),5,FALSE),"")</f>
        <v/>
      </c>
      <c r="H50" s="251" t="str">
        <f t="array" ref="H50">IFERROR(VLOOKUP($I$2,IF(DATAKBA[NO]='LAMPIRAN-2020'!A50,DATAKBA[[TANGGAL]:[TARRA]],0),6,FALSE),"")</f>
        <v/>
      </c>
      <c r="I50" s="251" t="str">
        <f t="array" ref="I50">IFERROR(VLOOKUP($I$2,IF(DATAKBA[NO]='LAMPIRAN-2020'!A50,DATAKBA[[TANGGAL]:[TARRA]],0),7,FALSE),"")</f>
        <v/>
      </c>
      <c r="J50" s="251">
        <f t="shared" si="0"/>
        <v>0</v>
      </c>
      <c r="L50" s="216" t="str">
        <f t="shared" si="2"/>
        <v/>
      </c>
    </row>
    <row r="51" spans="1:17" s="34" customFormat="1" ht="18" hidden="1" customHeight="1">
      <c r="A51" s="34">
        <f t="shared" si="3"/>
        <v>46</v>
      </c>
      <c r="B51" s="34" t="str">
        <f t="shared" si="1"/>
        <v>DARAT</v>
      </c>
      <c r="D51" s="246" t="str">
        <f t="array" ref="D51">IFERROR(VLOOKUP($I$2,IF(DATAKBA[NO]='LAMPIRAN-2020'!A51,DATAKBA[[TANGGAL]:[TARRA]],0),2,FALSE),"")</f>
        <v/>
      </c>
      <c r="E51" s="247" t="str">
        <f t="array" ref="E51">IFERROR(VLOOKUP($I$2,IF(DATAKBA[NO]='LAMPIRAN-2020'!A51,DATAKBA[[TANGGAL]:[TARRA]],0),3,FALSE),"")</f>
        <v/>
      </c>
      <c r="F51" s="248" t="str">
        <f t="array" ref="F51">IFERROR(VLOOKUP($I$2,IF(DATAKBA[NO]='LAMPIRAN-2020'!A51,DATAKBA[[TANGGAL]:[TARRA]],0),4,FALSE),"")</f>
        <v/>
      </c>
      <c r="G51" s="249" t="str">
        <f t="array" ref="G51">IFERROR(VLOOKUP($I$2,IF(DATAKBA[NO]='LAMPIRAN-2020'!A51,DATAKBA[[TANGGAL]:[TARRA]],0),5,FALSE),"")</f>
        <v/>
      </c>
      <c r="H51" s="251" t="str">
        <f t="array" ref="H51">IFERROR(VLOOKUP($I$2,IF(DATAKBA[NO]='LAMPIRAN-2020'!A51,DATAKBA[[TANGGAL]:[TARRA]],0),6,FALSE),"")</f>
        <v/>
      </c>
      <c r="I51" s="251" t="str">
        <f t="array" ref="I51">IFERROR(VLOOKUP($I$2,IF(DATAKBA[NO]='LAMPIRAN-2020'!A51,DATAKBA[[TANGGAL]:[TARRA]],0),7,FALSE),"")</f>
        <v/>
      </c>
      <c r="J51" s="251">
        <f t="shared" si="0"/>
        <v>0</v>
      </c>
      <c r="L51" s="216" t="str">
        <f t="shared" si="2"/>
        <v/>
      </c>
    </row>
    <row r="52" spans="1:17" s="34" customFormat="1" ht="18" hidden="1" customHeight="1">
      <c r="A52" s="34">
        <f t="shared" si="3"/>
        <v>47</v>
      </c>
      <c r="B52" s="34" t="str">
        <f t="shared" si="1"/>
        <v>DARAT</v>
      </c>
      <c r="D52" s="246" t="str">
        <f t="array" ref="D52">IFERROR(VLOOKUP($I$2,IF(DATAKBA[NO]='LAMPIRAN-2020'!A52,DATAKBA[[TANGGAL]:[TARRA]],0),2,FALSE),"")</f>
        <v/>
      </c>
      <c r="E52" s="247" t="str">
        <f t="array" ref="E52">IFERROR(VLOOKUP($I$2,IF(DATAKBA[NO]='LAMPIRAN-2020'!A52,DATAKBA[[TANGGAL]:[TARRA]],0),3,FALSE),"")</f>
        <v/>
      </c>
      <c r="F52" s="248" t="str">
        <f t="array" ref="F52">IFERROR(VLOOKUP($I$2,IF(DATAKBA[NO]='LAMPIRAN-2020'!A52,DATAKBA[[TANGGAL]:[TARRA]],0),4,FALSE),"")</f>
        <v/>
      </c>
      <c r="G52" s="249" t="str">
        <f t="array" ref="G52">IFERROR(VLOOKUP($I$2,IF(DATAKBA[NO]='LAMPIRAN-2020'!A52,DATAKBA[[TANGGAL]:[TARRA]],0),5,FALSE),"")</f>
        <v/>
      </c>
      <c r="H52" s="251" t="str">
        <f t="array" ref="H52">IFERROR(VLOOKUP($I$2,IF(DATAKBA[NO]='LAMPIRAN-2020'!A52,DATAKBA[[TANGGAL]:[TARRA]],0),6,FALSE),"")</f>
        <v/>
      </c>
      <c r="I52" s="251" t="str">
        <f t="array" ref="I52">IFERROR(VLOOKUP($I$2,IF(DATAKBA[NO]='LAMPIRAN-2020'!A52,DATAKBA[[TANGGAL]:[TARRA]],0),7,FALSE),"")</f>
        <v/>
      </c>
      <c r="J52" s="251">
        <f t="shared" si="0"/>
        <v>0</v>
      </c>
      <c r="L52" s="216" t="str">
        <f t="shared" si="2"/>
        <v/>
      </c>
    </row>
    <row r="53" spans="1:17" s="34" customFormat="1" ht="18" hidden="1" customHeight="1">
      <c r="A53" s="34">
        <f t="shared" si="3"/>
        <v>48</v>
      </c>
      <c r="B53" s="34" t="str">
        <f t="shared" si="1"/>
        <v>DARAT</v>
      </c>
      <c r="D53" s="246" t="str">
        <f t="array" ref="D53">IFERROR(VLOOKUP($I$2,IF(DATAKBA[NO]='LAMPIRAN-2020'!A53,DATAKBA[[TANGGAL]:[TARRA]],0),2,FALSE),"")</f>
        <v/>
      </c>
      <c r="E53" s="247" t="str">
        <f t="array" ref="E53">IFERROR(VLOOKUP($I$2,IF(DATAKBA[NO]='LAMPIRAN-2020'!A53,DATAKBA[[TANGGAL]:[TARRA]],0),3,FALSE),"")</f>
        <v/>
      </c>
      <c r="F53" s="248" t="str">
        <f t="array" ref="F53">IFERROR(VLOOKUP($I$2,IF(DATAKBA[NO]='LAMPIRAN-2020'!A53,DATAKBA[[TANGGAL]:[TARRA]],0),4,FALSE),"")</f>
        <v/>
      </c>
      <c r="G53" s="249" t="str">
        <f t="array" ref="G53">IFERROR(VLOOKUP($I$2,IF(DATAKBA[NO]='LAMPIRAN-2020'!A53,DATAKBA[[TANGGAL]:[TARRA]],0),5,FALSE),"")</f>
        <v/>
      </c>
      <c r="H53" s="251" t="str">
        <f t="array" ref="H53">IFERROR(VLOOKUP($I$2,IF(DATAKBA[NO]='LAMPIRAN-2020'!A53,DATAKBA[[TANGGAL]:[TARRA]],0),6,FALSE),"")</f>
        <v/>
      </c>
      <c r="I53" s="251" t="str">
        <f t="array" ref="I53">IFERROR(VLOOKUP($I$2,IF(DATAKBA[NO]='LAMPIRAN-2020'!A53,DATAKBA[[TANGGAL]:[TARRA]],0),7,FALSE),"")</f>
        <v/>
      </c>
      <c r="J53" s="251">
        <f t="shared" si="0"/>
        <v>0</v>
      </c>
      <c r="L53" s="216" t="str">
        <f t="shared" si="2"/>
        <v/>
      </c>
    </row>
    <row r="54" spans="1:17" s="34" customFormat="1" ht="18" hidden="1" customHeight="1">
      <c r="A54" s="34">
        <f t="shared" si="3"/>
        <v>49</v>
      </c>
      <c r="B54" s="34" t="str">
        <f t="shared" si="1"/>
        <v>DARAT</v>
      </c>
      <c r="D54" s="246" t="str">
        <f t="array" ref="D54">IFERROR(VLOOKUP($I$2,IF(DATAKBA[NO]='LAMPIRAN-2020'!A54,DATAKBA[[TANGGAL]:[TARRA]],0),2,FALSE),"")</f>
        <v/>
      </c>
      <c r="E54" s="247" t="str">
        <f t="array" ref="E54">IFERROR(VLOOKUP($I$2,IF(DATAKBA[NO]='LAMPIRAN-2020'!A54,DATAKBA[[TANGGAL]:[TARRA]],0),3,FALSE),"")</f>
        <v/>
      </c>
      <c r="F54" s="248" t="str">
        <f t="array" ref="F54">IFERROR(VLOOKUP($I$2,IF(DATAKBA[NO]='LAMPIRAN-2020'!A54,DATAKBA[[TANGGAL]:[TARRA]],0),4,FALSE),"")</f>
        <v/>
      </c>
      <c r="G54" s="249" t="str">
        <f t="array" ref="G54">IFERROR(VLOOKUP($I$2,IF(DATAKBA[NO]='LAMPIRAN-2020'!A54,DATAKBA[[TANGGAL]:[TARRA]],0),5,FALSE),"")</f>
        <v/>
      </c>
      <c r="H54" s="251" t="str">
        <f t="array" ref="H54">IFERROR(VLOOKUP($I$2,IF(DATAKBA[NO]='LAMPIRAN-2020'!A54,DATAKBA[[TANGGAL]:[TARRA]],0),6,FALSE),"")</f>
        <v/>
      </c>
      <c r="I54" s="251" t="str">
        <f t="array" ref="I54">IFERROR(VLOOKUP($I$2,IF(DATAKBA[NO]='LAMPIRAN-2020'!A54,DATAKBA[[TANGGAL]:[TARRA]],0),7,FALSE),"")</f>
        <v/>
      </c>
      <c r="J54" s="251">
        <f t="shared" si="0"/>
        <v>0</v>
      </c>
      <c r="L54" s="216" t="str">
        <f t="shared" si="2"/>
        <v/>
      </c>
    </row>
    <row r="55" spans="1:17" s="34" customFormat="1" ht="18" hidden="1" customHeight="1">
      <c r="A55" s="34">
        <f t="shared" si="3"/>
        <v>50</v>
      </c>
      <c r="B55" s="34" t="str">
        <f t="shared" si="1"/>
        <v>DARAT</v>
      </c>
      <c r="D55" s="246" t="str">
        <f t="array" ref="D55">IFERROR(VLOOKUP($I$2,IF(DATAKBA[NO]='LAMPIRAN-2020'!A55,DATAKBA[[TANGGAL]:[TARRA]],0),2,FALSE),"")</f>
        <v/>
      </c>
      <c r="E55" s="247" t="str">
        <f t="array" ref="E55">IFERROR(VLOOKUP($I$2,IF(DATAKBA[NO]='LAMPIRAN-2020'!A55,DATAKBA[[TANGGAL]:[TARRA]],0),3,FALSE),"")</f>
        <v/>
      </c>
      <c r="F55" s="248" t="str">
        <f t="array" ref="F55">IFERROR(VLOOKUP($I$2,IF(DATAKBA[NO]='LAMPIRAN-2020'!A55,DATAKBA[[TANGGAL]:[TARRA]],0),4,FALSE),"")</f>
        <v/>
      </c>
      <c r="G55" s="249" t="str">
        <f t="array" ref="G55">IFERROR(VLOOKUP($I$2,IF(DATAKBA[NO]='LAMPIRAN-2020'!A55,DATAKBA[[TANGGAL]:[TARRA]],0),5,FALSE),"")</f>
        <v/>
      </c>
      <c r="H55" s="251" t="str">
        <f t="array" ref="H55">IFERROR(VLOOKUP($I$2,IF(DATAKBA[NO]='LAMPIRAN-2020'!A55,DATAKBA[[TANGGAL]:[TARRA]],0),6,FALSE),"")</f>
        <v/>
      </c>
      <c r="I55" s="251" t="str">
        <f t="array" ref="I55">IFERROR(VLOOKUP($I$2,IF(DATAKBA[NO]='LAMPIRAN-2020'!A55,DATAKBA[[TANGGAL]:[TARRA]],0),7,FALSE),"")</f>
        <v/>
      </c>
      <c r="J55" s="251">
        <f t="shared" si="0"/>
        <v>0</v>
      </c>
      <c r="L55" s="216" t="str">
        <f t="shared" si="2"/>
        <v/>
      </c>
    </row>
    <row r="56" spans="1:17" s="34" customFormat="1" ht="5.0999999999999996" customHeight="1" thickBot="1">
      <c r="D56" s="155"/>
      <c r="E56" s="156"/>
      <c r="F56" s="157"/>
      <c r="G56" s="158"/>
      <c r="H56" s="159"/>
      <c r="I56" s="160"/>
      <c r="J56" s="160"/>
      <c r="L56" s="216" t="s">
        <v>199</v>
      </c>
    </row>
    <row r="57" spans="1:17" s="34" customFormat="1" ht="21.95" customHeight="1" thickTop="1">
      <c r="D57" s="161"/>
      <c r="E57" s="22"/>
      <c r="F57" s="304" t="s">
        <v>66</v>
      </c>
      <c r="G57" s="304">
        <f>SUM(G6:G56)</f>
        <v>0</v>
      </c>
      <c r="H57" s="305">
        <f>SUM(H6:H56)</f>
        <v>0</v>
      </c>
      <c r="I57" s="305">
        <f>SUM(I6:I56)</f>
        <v>0</v>
      </c>
      <c r="J57" s="305">
        <f>SUM(J6:J56)</f>
        <v>0</v>
      </c>
      <c r="L57" s="216" t="s">
        <v>199</v>
      </c>
    </row>
    <row r="58" spans="1:17" s="34" customFormat="1" ht="21.95" customHeight="1">
      <c r="D58" s="35"/>
      <c r="E58" s="22"/>
      <c r="F58" s="307" t="s">
        <v>67</v>
      </c>
      <c r="G58" s="307">
        <f>SUMIFS(DATAKBA[TN],DATAKBA[TANGGAL],"&lt;="&amp;DATE(YEAR($I$2),MONTH($I$2),DAY($I$2)),DATAKBA[TANGGAL],"&gt;="&amp;DATE(YEAR($I$2),MONTH($I$2),1))</f>
        <v>394</v>
      </c>
      <c r="H58" s="236">
        <f>SUMIFS(DATAKBA[BRUTO],DATAKBA[TANGGAL],"&lt;="&amp;DATE(YEAR($I$2),MONTH($I$2),DAY($I$2)),DATAKBA[TANGGAL],"&gt;="&amp;DATE(YEAR($I$2),MONTH($I$2),1))</f>
        <v>3380370</v>
      </c>
      <c r="I58" s="236">
        <f>SUMIFS(DATAKBA[TARRA],DATAKBA[TANGGAL],"&lt;="&amp;DATE(YEAR($I$2),MONTH($I$2),DAY($I$2)),DATAKBA[TANGGAL],"&gt;="&amp;DATE(YEAR($I$2),MONTH($I$2),1))</f>
        <v>1500120</v>
      </c>
      <c r="J58" s="236">
        <f ca="1">SUMIFS(DATAKBA[NETTO],DATAKBA[TANGGAL],"&lt;="&amp;DATE(YEAR($I$2),MONTH($I$2),DAY($I$2)),DATAKBA[TANGGAL],"&gt;="&amp;DATE(YEAR($I$2),MONTH($I$2),1))</f>
        <v>1880250</v>
      </c>
      <c r="L58" s="216" t="s">
        <v>199</v>
      </c>
    </row>
    <row r="59" spans="1:17" s="34" customFormat="1" ht="15" customHeight="1">
      <c r="D59" s="35"/>
      <c r="E59" s="36"/>
      <c r="F59" s="37"/>
      <c r="G59" s="37"/>
      <c r="H59" s="38"/>
      <c r="I59" s="38"/>
      <c r="J59" s="38"/>
      <c r="L59" s="216" t="s">
        <v>199</v>
      </c>
      <c r="Q59" s="34">
        <v>55</v>
      </c>
    </row>
    <row r="60" spans="1:17" s="34" customFormat="1" ht="18" customHeight="1">
      <c r="D60" s="622" t="s">
        <v>68</v>
      </c>
      <c r="E60" s="623"/>
      <c r="F60" s="623"/>
      <c r="G60" s="624"/>
      <c r="H60" s="25" t="s">
        <v>55</v>
      </c>
      <c r="I60" s="25" t="s">
        <v>56</v>
      </c>
      <c r="J60" s="25" t="s">
        <v>57</v>
      </c>
      <c r="L60" s="216" t="s">
        <v>199</v>
      </c>
    </row>
    <row r="61" spans="1:17" s="34" customFormat="1" ht="18" customHeight="1">
      <c r="D61" s="26" t="s">
        <v>58</v>
      </c>
      <c r="E61" s="27" t="s">
        <v>59</v>
      </c>
      <c r="F61" s="28" t="s">
        <v>60</v>
      </c>
      <c r="G61" s="27" t="s">
        <v>61</v>
      </c>
      <c r="H61" s="29" t="s">
        <v>62</v>
      </c>
      <c r="I61" s="29" t="s">
        <v>63</v>
      </c>
      <c r="J61" s="29" t="s">
        <v>64</v>
      </c>
      <c r="L61" s="216" t="s">
        <v>199</v>
      </c>
    </row>
    <row r="62" spans="1:17" s="34" customFormat="1" ht="18" customHeight="1" thickBot="1">
      <c r="D62" s="30">
        <v>1</v>
      </c>
      <c r="E62" s="31">
        <v>2</v>
      </c>
      <c r="F62" s="30">
        <v>3</v>
      </c>
      <c r="G62" s="32">
        <v>4</v>
      </c>
      <c r="H62" s="33">
        <v>5</v>
      </c>
      <c r="I62" s="33">
        <v>6</v>
      </c>
      <c r="J62" s="33" t="s">
        <v>65</v>
      </c>
      <c r="L62" s="216" t="s">
        <v>199</v>
      </c>
    </row>
    <row r="63" spans="1:17" s="34" customFormat="1" ht="18" customHeight="1" thickTop="1">
      <c r="A63" s="34">
        <v>1</v>
      </c>
      <c r="B63" s="34" t="str">
        <f t="shared" ref="B63:B82" si="4">IFERROR(IF(FIND("/KM",E63)&gt;0,"SUNGAI"),"DARAT")</f>
        <v>DARAT</v>
      </c>
      <c r="D63" s="252" t="str">
        <f t="array" ref="D63">IFERROR(VLOOKUP($I$2,IF(DATAKBB[NO]='LAMPIRAN-2020'!A63,DATAKBB[[TANGGAL]:[TARRA]],0),2,FALSE),"")</f>
        <v/>
      </c>
      <c r="E63" s="247" t="str">
        <f t="array" ref="E63">IFERROR(VLOOKUP($I$2,IF(DATAKBB[NO]='LAMPIRAN-2020'!A63,DATAKBB[[TANGGAL]:[TARRA]],0),3,FALSE),"NIHIL")</f>
        <v>NIHIL</v>
      </c>
      <c r="F63" s="253" t="str">
        <f t="array" ref="F63">IFERROR(VLOOKUP($I$2,IF(DATAKBB[NO]='LAMPIRAN-2020'!A63,DATAKBB[[TANGGAL]:[TARRA]],0),4,FALSE),"")</f>
        <v/>
      </c>
      <c r="G63" s="254" t="str">
        <f t="array" ref="G63">IFERROR(VLOOKUP($I$2,IF(DATAKBB[NO]='LAMPIRAN-2020'!A63,DATAKBB[[TANGGAL]:[TARRA]],0),5,FALSE),"")</f>
        <v/>
      </c>
      <c r="H63" s="250" t="str">
        <f t="array" ref="H63">IFERROR(VLOOKUP($I$2,IF(DATAKBB[NO]='LAMPIRAN-2020'!A63,DATAKBB[[TANGGAL]:[TARRA]],0),6,FALSE),"")</f>
        <v/>
      </c>
      <c r="I63" s="250" t="str">
        <f t="array" ref="I63">IFERROR(VLOOKUP($I$2,IF(DATAKBB[NO]='LAMPIRAN-2020'!A63,DATAKBB[[TANGGAL]:[TARRA]],0),7,FALSE),"")</f>
        <v/>
      </c>
      <c r="J63" s="250">
        <f t="shared" ref="J63:J77" si="5">IFERROR(H63-I63,0)</f>
        <v>0</v>
      </c>
      <c r="L63" s="216" t="s">
        <v>199</v>
      </c>
    </row>
    <row r="64" spans="1:17" s="34" customFormat="1" ht="18" hidden="1" customHeight="1">
      <c r="A64" s="34">
        <f t="shared" ref="A64:A82" si="6">+A63+1</f>
        <v>2</v>
      </c>
      <c r="B64" s="34" t="str">
        <f t="shared" si="4"/>
        <v>DARAT</v>
      </c>
      <c r="D64" s="252" t="str">
        <f t="array" ref="D64">IFERROR(VLOOKUP($I$2,IF(DATAKBB[NO]='LAMPIRAN-2020'!A64,DATAKBB[[TANGGAL]:[TARRA]],0),2,FALSE),"")</f>
        <v/>
      </c>
      <c r="E64" s="247" t="str">
        <f t="array" ref="E64">IFERROR(VLOOKUP($I$2,IF(DATAKBB[NO]='LAMPIRAN-2020'!A64,DATAKBB[[TANGGAL]:[TARRA]],0),3,FALSE),"")</f>
        <v/>
      </c>
      <c r="F64" s="255" t="str">
        <f t="array" ref="F64">IFERROR(VLOOKUP($I$2,IF(DATAKBB[NO]='LAMPIRAN-2020'!A64,DATAKBB[[TANGGAL]:[TARRA]],0),4,FALSE),"")</f>
        <v/>
      </c>
      <c r="G64" s="256" t="str">
        <f t="array" ref="G64">IFERROR(VLOOKUP($I$2,IF(DATAKBB[NO]='LAMPIRAN-2020'!A64,DATAKBB[[TANGGAL]:[TARRA]],0),5,FALSE),"")</f>
        <v/>
      </c>
      <c r="H64" s="257" t="str">
        <f t="array" ref="H64">IFERROR(VLOOKUP($I$2,IF(DATAKBB[NO]='LAMPIRAN-2020'!A64,DATAKBB[[TANGGAL]:[TARRA]],0),6,FALSE),"")</f>
        <v/>
      </c>
      <c r="I64" s="257" t="str">
        <f t="array" ref="I64">IFERROR(VLOOKUP($I$2,IF(DATAKBB[NO]='LAMPIRAN-2020'!A64,DATAKBB[[TANGGAL]:[TARRA]],0),7,FALSE),"")</f>
        <v/>
      </c>
      <c r="J64" s="257">
        <f t="shared" si="5"/>
        <v>0</v>
      </c>
      <c r="L64" s="216" t="str">
        <f t="shared" ref="L64:L82" si="7">IF(J64=0,"","Ok")</f>
        <v/>
      </c>
    </row>
    <row r="65" spans="1:12" s="34" customFormat="1" ht="18" hidden="1" customHeight="1">
      <c r="A65" s="34">
        <f t="shared" si="6"/>
        <v>3</v>
      </c>
      <c r="B65" s="34" t="str">
        <f t="shared" si="4"/>
        <v>DARAT</v>
      </c>
      <c r="D65" s="252" t="str">
        <f t="array" ref="D65">IFERROR(VLOOKUP($I$2,IF(DATAKBB[NO]='LAMPIRAN-2020'!A65,DATAKBB[[TANGGAL]:[TARRA]],0),2,FALSE),"")</f>
        <v/>
      </c>
      <c r="E65" s="247" t="str">
        <f t="array" ref="E65">IFERROR(VLOOKUP($I$2,IF(DATAKBB[NO]='LAMPIRAN-2020'!A65,DATAKBB[[TANGGAL]:[TARRA]],0),3,FALSE),"")</f>
        <v/>
      </c>
      <c r="F65" s="255" t="str">
        <f t="array" ref="F65">IFERROR(VLOOKUP($I$2,IF(DATAKBB[NO]='LAMPIRAN-2020'!A65,DATAKBB[[TANGGAL]:[TARRA]],0),4,FALSE),"")</f>
        <v/>
      </c>
      <c r="G65" s="256" t="str">
        <f t="array" ref="G65">IFERROR(VLOOKUP($I$2,IF(DATAKBB[NO]='LAMPIRAN-2020'!A65,DATAKBB[[TANGGAL]:[TARRA]],0),5,FALSE),"")</f>
        <v/>
      </c>
      <c r="H65" s="257" t="str">
        <f t="array" ref="H65">IFERROR(VLOOKUP($I$2,IF(DATAKBB[NO]='LAMPIRAN-2020'!A65,DATAKBB[[TANGGAL]:[TARRA]],0),6,FALSE),"")</f>
        <v/>
      </c>
      <c r="I65" s="257" t="str">
        <f t="array" ref="I65">IFERROR(VLOOKUP($I$2,IF(DATAKBB[NO]='LAMPIRAN-2020'!A65,DATAKBB[[TANGGAL]:[TARRA]],0),7,FALSE),"")</f>
        <v/>
      </c>
      <c r="J65" s="257">
        <f t="shared" si="5"/>
        <v>0</v>
      </c>
      <c r="L65" s="216" t="str">
        <f t="shared" si="7"/>
        <v/>
      </c>
    </row>
    <row r="66" spans="1:12" s="34" customFormat="1" ht="18" hidden="1" customHeight="1">
      <c r="A66" s="34">
        <f t="shared" si="6"/>
        <v>4</v>
      </c>
      <c r="B66" s="34" t="str">
        <f t="shared" si="4"/>
        <v>DARAT</v>
      </c>
      <c r="D66" s="252" t="str">
        <f t="array" ref="D66">IFERROR(VLOOKUP($I$2,IF(DATAKBB[NO]='LAMPIRAN-2020'!A66,DATAKBB[[TANGGAL]:[TARRA]],0),2,FALSE),"")</f>
        <v/>
      </c>
      <c r="E66" s="247" t="str">
        <f t="array" ref="E66">IFERROR(VLOOKUP($I$2,IF(DATAKBB[NO]='LAMPIRAN-2020'!A66,DATAKBB[[TANGGAL]:[TARRA]],0),3,FALSE),"")</f>
        <v/>
      </c>
      <c r="F66" s="255" t="str">
        <f t="array" ref="F66">IFERROR(VLOOKUP($I$2,IF(DATAKBB[NO]='LAMPIRAN-2020'!A66,DATAKBB[[TANGGAL]:[TARRA]],0),4,FALSE),"")</f>
        <v/>
      </c>
      <c r="G66" s="256" t="str">
        <f t="array" ref="G66">IFERROR(VLOOKUP($I$2,IF(DATAKBB[NO]='LAMPIRAN-2020'!A66,DATAKBB[[TANGGAL]:[TARRA]],0),5,FALSE),"")</f>
        <v/>
      </c>
      <c r="H66" s="257" t="str">
        <f t="array" ref="H66">IFERROR(VLOOKUP($I$2,IF(DATAKBB[NO]='LAMPIRAN-2020'!A66,DATAKBB[[TANGGAL]:[TARRA]],0),6,FALSE),"")</f>
        <v/>
      </c>
      <c r="I66" s="257" t="str">
        <f t="array" ref="I66">IFERROR(VLOOKUP($I$2,IF(DATAKBB[NO]='LAMPIRAN-2020'!A66,DATAKBB[[TANGGAL]:[TARRA]],0),7,FALSE),"")</f>
        <v/>
      </c>
      <c r="J66" s="257">
        <f t="shared" si="5"/>
        <v>0</v>
      </c>
      <c r="L66" s="216" t="str">
        <f t="shared" si="7"/>
        <v/>
      </c>
    </row>
    <row r="67" spans="1:12" s="34" customFormat="1" ht="18" hidden="1" customHeight="1">
      <c r="A67" s="34">
        <f t="shared" si="6"/>
        <v>5</v>
      </c>
      <c r="B67" s="34" t="str">
        <f t="shared" si="4"/>
        <v>DARAT</v>
      </c>
      <c r="D67" s="252" t="str">
        <f t="array" ref="D67">IFERROR(VLOOKUP($I$2,IF(DATAKBB[NO]='LAMPIRAN-2020'!A67,DATAKBB[[TANGGAL]:[TARRA]],0),2,FALSE),"")</f>
        <v/>
      </c>
      <c r="E67" s="247" t="str">
        <f t="array" ref="E67">IFERROR(VLOOKUP($I$2,IF(DATAKBB[NO]='LAMPIRAN-2020'!A67,DATAKBB[[TANGGAL]:[TARRA]],0),3,FALSE),"")</f>
        <v/>
      </c>
      <c r="F67" s="255" t="str">
        <f t="array" ref="F67">IFERROR(VLOOKUP($I$2,IF(DATAKBB[NO]='LAMPIRAN-2020'!A67,DATAKBB[[TANGGAL]:[TARRA]],0),4,FALSE),"")</f>
        <v/>
      </c>
      <c r="G67" s="256" t="str">
        <f t="array" ref="G67">IFERROR(VLOOKUP($I$2,IF(DATAKBB[NO]='LAMPIRAN-2020'!A67,DATAKBB[[TANGGAL]:[TARRA]],0),5,FALSE),"")</f>
        <v/>
      </c>
      <c r="H67" s="257" t="str">
        <f t="array" ref="H67">IFERROR(VLOOKUP($I$2,IF(DATAKBB[NO]='LAMPIRAN-2020'!A67,DATAKBB[[TANGGAL]:[TARRA]],0),6,FALSE),"")</f>
        <v/>
      </c>
      <c r="I67" s="257" t="str">
        <f t="array" ref="I67">IFERROR(VLOOKUP($I$2,IF(DATAKBB[NO]='LAMPIRAN-2020'!A67,DATAKBB[[TANGGAL]:[TARRA]],0),7,FALSE),"")</f>
        <v/>
      </c>
      <c r="J67" s="257">
        <f t="shared" si="5"/>
        <v>0</v>
      </c>
      <c r="L67" s="216" t="str">
        <f t="shared" si="7"/>
        <v/>
      </c>
    </row>
    <row r="68" spans="1:12" s="34" customFormat="1" ht="18" hidden="1" customHeight="1">
      <c r="A68" s="34">
        <f t="shared" si="6"/>
        <v>6</v>
      </c>
      <c r="B68" s="34" t="str">
        <f t="shared" si="4"/>
        <v>DARAT</v>
      </c>
      <c r="D68" s="252" t="str">
        <f t="array" ref="D68">IFERROR(VLOOKUP($I$2,IF(DATAKBB[NO]='LAMPIRAN-2020'!A68,DATAKBB[[TANGGAL]:[TARRA]],0),2,FALSE),"")</f>
        <v/>
      </c>
      <c r="E68" s="247" t="str">
        <f t="array" ref="E68">IFERROR(VLOOKUP($I$2,IF(DATAKBB[NO]='LAMPIRAN-2020'!A68,DATAKBB[[TANGGAL]:[TARRA]],0),3,FALSE),"")</f>
        <v/>
      </c>
      <c r="F68" s="255" t="str">
        <f t="array" ref="F68">IFERROR(VLOOKUP($I$2,IF(DATAKBB[NO]='LAMPIRAN-2020'!A68,DATAKBB[[TANGGAL]:[TARRA]],0),4,FALSE),"")</f>
        <v/>
      </c>
      <c r="G68" s="256" t="str">
        <f t="array" ref="G68">IFERROR(VLOOKUP($I$2,IF(DATAKBB[NO]='LAMPIRAN-2020'!A68,DATAKBB[[TANGGAL]:[TARRA]],0),5,FALSE),"")</f>
        <v/>
      </c>
      <c r="H68" s="257" t="str">
        <f t="array" ref="H68">IFERROR(VLOOKUP($I$2,IF(DATAKBB[NO]='LAMPIRAN-2020'!A68,DATAKBB[[TANGGAL]:[TARRA]],0),6,FALSE),"")</f>
        <v/>
      </c>
      <c r="I68" s="257" t="str">
        <f t="array" ref="I68">IFERROR(VLOOKUP($I$2,IF(DATAKBB[NO]='LAMPIRAN-2020'!A68,DATAKBB[[TANGGAL]:[TARRA]],0),7,FALSE),"")</f>
        <v/>
      </c>
      <c r="J68" s="257">
        <f t="shared" si="5"/>
        <v>0</v>
      </c>
      <c r="L68" s="216" t="str">
        <f t="shared" si="7"/>
        <v/>
      </c>
    </row>
    <row r="69" spans="1:12" s="34" customFormat="1" ht="18" hidden="1" customHeight="1">
      <c r="A69" s="34">
        <f t="shared" si="6"/>
        <v>7</v>
      </c>
      <c r="B69" s="34" t="str">
        <f t="shared" si="4"/>
        <v>DARAT</v>
      </c>
      <c r="D69" s="252" t="str">
        <f t="array" ref="D69">IFERROR(VLOOKUP($I$2,IF(DATAKBB[NO]='LAMPIRAN-2020'!A69,DATAKBB[[TANGGAL]:[TARRA]],0),2,FALSE),"")</f>
        <v/>
      </c>
      <c r="E69" s="247" t="str">
        <f t="array" ref="E69">IFERROR(VLOOKUP($I$2,IF(DATAKBB[NO]='LAMPIRAN-2020'!A69,DATAKBB[[TANGGAL]:[TARRA]],0),3,FALSE),"")</f>
        <v/>
      </c>
      <c r="F69" s="255" t="str">
        <f t="array" ref="F69">IFERROR(VLOOKUP($I$2,IF(DATAKBB[NO]='LAMPIRAN-2020'!A69,DATAKBB[[TANGGAL]:[TARRA]],0),4,FALSE),"")</f>
        <v/>
      </c>
      <c r="G69" s="256" t="str">
        <f t="array" ref="G69">IFERROR(VLOOKUP($I$2,IF(DATAKBB[NO]='LAMPIRAN-2020'!A69,DATAKBB[[TANGGAL]:[TARRA]],0),5,FALSE),"")</f>
        <v/>
      </c>
      <c r="H69" s="257" t="str">
        <f t="array" ref="H69">IFERROR(VLOOKUP($I$2,IF(DATAKBB[NO]='LAMPIRAN-2020'!A69,DATAKBB[[TANGGAL]:[TARRA]],0),6,FALSE),"")</f>
        <v/>
      </c>
      <c r="I69" s="257" t="str">
        <f t="array" ref="I69">IFERROR(VLOOKUP($I$2,IF(DATAKBB[NO]='LAMPIRAN-2020'!A69,DATAKBB[[TANGGAL]:[TARRA]],0),7,FALSE),"")</f>
        <v/>
      </c>
      <c r="J69" s="257">
        <f t="shared" si="5"/>
        <v>0</v>
      </c>
      <c r="L69" s="216" t="str">
        <f t="shared" si="7"/>
        <v/>
      </c>
    </row>
    <row r="70" spans="1:12" s="34" customFormat="1" ht="18" hidden="1" customHeight="1">
      <c r="A70" s="34">
        <f t="shared" si="6"/>
        <v>8</v>
      </c>
      <c r="B70" s="34" t="str">
        <f t="shared" si="4"/>
        <v>DARAT</v>
      </c>
      <c r="D70" s="252" t="str">
        <f t="array" ref="D70">IFERROR(VLOOKUP($I$2,IF(DATAKBB[NO]='LAMPIRAN-2020'!A70,DATAKBB[[TANGGAL]:[TARRA]],0),2,FALSE),"")</f>
        <v/>
      </c>
      <c r="E70" s="247" t="str">
        <f t="array" ref="E70">IFERROR(VLOOKUP($I$2,IF(DATAKBB[NO]='LAMPIRAN-2020'!A70,DATAKBB[[TANGGAL]:[TARRA]],0),3,FALSE),"")</f>
        <v/>
      </c>
      <c r="F70" s="255" t="str">
        <f t="array" ref="F70">IFERROR(VLOOKUP($I$2,IF(DATAKBB[NO]='LAMPIRAN-2020'!A70,DATAKBB[[TANGGAL]:[TARRA]],0),4,FALSE),"")</f>
        <v/>
      </c>
      <c r="G70" s="256" t="str">
        <f t="array" ref="G70">IFERROR(VLOOKUP($I$2,IF(DATAKBB[NO]='LAMPIRAN-2020'!A70,DATAKBB[[TANGGAL]:[TARRA]],0),5,FALSE),"")</f>
        <v/>
      </c>
      <c r="H70" s="257" t="str">
        <f t="array" ref="H70">IFERROR(VLOOKUP($I$2,IF(DATAKBB[NO]='LAMPIRAN-2020'!A70,DATAKBB[[TANGGAL]:[TARRA]],0),6,FALSE),"")</f>
        <v/>
      </c>
      <c r="I70" s="257" t="str">
        <f t="array" ref="I70">IFERROR(VLOOKUP($I$2,IF(DATAKBB[NO]='LAMPIRAN-2020'!A70,DATAKBB[[TANGGAL]:[TARRA]],0),7,FALSE),"")</f>
        <v/>
      </c>
      <c r="J70" s="257">
        <f t="shared" si="5"/>
        <v>0</v>
      </c>
      <c r="L70" s="216" t="str">
        <f t="shared" si="7"/>
        <v/>
      </c>
    </row>
    <row r="71" spans="1:12" s="34" customFormat="1" ht="18" hidden="1" customHeight="1">
      <c r="A71" s="34">
        <f t="shared" si="6"/>
        <v>9</v>
      </c>
      <c r="B71" s="34" t="str">
        <f t="shared" si="4"/>
        <v>DARAT</v>
      </c>
      <c r="D71" s="252" t="str">
        <f t="array" ref="D71">IFERROR(VLOOKUP($I$2,IF(DATAKBB[NO]='LAMPIRAN-2020'!A71,DATAKBB[[TANGGAL]:[TARRA]],0),2,FALSE),"")</f>
        <v/>
      </c>
      <c r="E71" s="247" t="str">
        <f t="array" ref="E71">IFERROR(VLOOKUP($I$2,IF(DATAKBB[NO]='LAMPIRAN-2020'!A71,DATAKBB[[TANGGAL]:[TARRA]],0),3,FALSE),"")</f>
        <v/>
      </c>
      <c r="F71" s="255" t="str">
        <f t="array" ref="F71">IFERROR(VLOOKUP($I$2,IF(DATAKBB[NO]='LAMPIRAN-2020'!A71,DATAKBB[[TANGGAL]:[TARRA]],0),4,FALSE),"")</f>
        <v/>
      </c>
      <c r="G71" s="256" t="str">
        <f t="array" ref="G71">IFERROR(VLOOKUP($I$2,IF(DATAKBB[NO]='LAMPIRAN-2020'!A71,DATAKBB[[TANGGAL]:[TARRA]],0),5,FALSE),"")</f>
        <v/>
      </c>
      <c r="H71" s="257" t="str">
        <f t="array" ref="H71">IFERROR(VLOOKUP($I$2,IF(DATAKBB[NO]='LAMPIRAN-2020'!A71,DATAKBB[[TANGGAL]:[TARRA]],0),6,FALSE),"")</f>
        <v/>
      </c>
      <c r="I71" s="257" t="str">
        <f t="array" ref="I71">IFERROR(VLOOKUP($I$2,IF(DATAKBB[NO]='LAMPIRAN-2020'!A71,DATAKBB[[TANGGAL]:[TARRA]],0),7,FALSE),"")</f>
        <v/>
      </c>
      <c r="J71" s="257">
        <f t="shared" si="5"/>
        <v>0</v>
      </c>
      <c r="L71" s="216" t="str">
        <f t="shared" si="7"/>
        <v/>
      </c>
    </row>
    <row r="72" spans="1:12" s="34" customFormat="1" ht="18" hidden="1" customHeight="1">
      <c r="A72" s="34">
        <f t="shared" si="6"/>
        <v>10</v>
      </c>
      <c r="B72" s="34" t="str">
        <f t="shared" si="4"/>
        <v>DARAT</v>
      </c>
      <c r="D72" s="252" t="str">
        <f t="array" ref="D72">IFERROR(VLOOKUP($I$2,IF(DATAKBB[NO]='LAMPIRAN-2020'!A72,DATAKBB[[TANGGAL]:[TARRA]],0),2,FALSE),"")</f>
        <v/>
      </c>
      <c r="E72" s="247" t="str">
        <f t="array" ref="E72">IFERROR(VLOOKUP($I$2,IF(DATAKBB[NO]='LAMPIRAN-2020'!A72,DATAKBB[[TANGGAL]:[TARRA]],0),3,FALSE),"")</f>
        <v/>
      </c>
      <c r="F72" s="255" t="str">
        <f t="array" ref="F72">IFERROR(VLOOKUP($I$2,IF(DATAKBB[NO]='LAMPIRAN-2020'!A72,DATAKBB[[TANGGAL]:[TARRA]],0),4,FALSE),"")</f>
        <v/>
      </c>
      <c r="G72" s="256" t="str">
        <f t="array" ref="G72">IFERROR(VLOOKUP($I$2,IF(DATAKBB[NO]='LAMPIRAN-2020'!A72,DATAKBB[[TANGGAL]:[TARRA]],0),5,FALSE),"")</f>
        <v/>
      </c>
      <c r="H72" s="257" t="str">
        <f t="array" ref="H72">IFERROR(VLOOKUP($I$2,IF(DATAKBB[NO]='LAMPIRAN-2020'!A72,DATAKBB[[TANGGAL]:[TARRA]],0),6,FALSE),"")</f>
        <v/>
      </c>
      <c r="I72" s="257" t="str">
        <f t="array" ref="I72">IFERROR(VLOOKUP($I$2,IF(DATAKBB[NO]='LAMPIRAN-2020'!A72,DATAKBB[[TANGGAL]:[TARRA]],0),7,FALSE),"")</f>
        <v/>
      </c>
      <c r="J72" s="257">
        <f t="shared" si="5"/>
        <v>0</v>
      </c>
      <c r="L72" s="216" t="str">
        <f t="shared" si="7"/>
        <v/>
      </c>
    </row>
    <row r="73" spans="1:12" s="34" customFormat="1" ht="18" hidden="1" customHeight="1">
      <c r="A73" s="34">
        <f t="shared" si="6"/>
        <v>11</v>
      </c>
      <c r="B73" s="34" t="str">
        <f t="shared" si="4"/>
        <v>DARAT</v>
      </c>
      <c r="D73" s="252" t="str">
        <f t="array" ref="D73">IFERROR(VLOOKUP($I$2,IF(DATAKBB[NO]='LAMPIRAN-2020'!A73,DATAKBB[[TANGGAL]:[TARRA]],0),2,FALSE),"")</f>
        <v/>
      </c>
      <c r="E73" s="247" t="str">
        <f t="array" ref="E73">IFERROR(VLOOKUP($I$2,IF(DATAKBB[NO]='LAMPIRAN-2020'!A73,DATAKBB[[TANGGAL]:[TARRA]],0),3,FALSE),"")</f>
        <v/>
      </c>
      <c r="F73" s="255" t="str">
        <f t="array" ref="F73">IFERROR(VLOOKUP($I$2,IF(DATAKBB[NO]='LAMPIRAN-2020'!A73,DATAKBB[[TANGGAL]:[TARRA]],0),4,FALSE),"")</f>
        <v/>
      </c>
      <c r="G73" s="256" t="str">
        <f t="array" ref="G73">IFERROR(VLOOKUP($I$2,IF(DATAKBB[NO]='LAMPIRAN-2020'!A73,DATAKBB[[TANGGAL]:[TARRA]],0),5,FALSE),"")</f>
        <v/>
      </c>
      <c r="H73" s="257" t="str">
        <f t="array" ref="H73">IFERROR(VLOOKUP($I$2,IF(DATAKBB[NO]='LAMPIRAN-2020'!A73,DATAKBB[[TANGGAL]:[TARRA]],0),6,FALSE),"")</f>
        <v/>
      </c>
      <c r="I73" s="257" t="str">
        <f t="array" ref="I73">IFERROR(VLOOKUP($I$2,IF(DATAKBB[NO]='LAMPIRAN-2020'!A73,DATAKBB[[TANGGAL]:[TARRA]],0),7,FALSE),"")</f>
        <v/>
      </c>
      <c r="J73" s="257">
        <f t="shared" si="5"/>
        <v>0</v>
      </c>
      <c r="L73" s="216" t="str">
        <f t="shared" si="7"/>
        <v/>
      </c>
    </row>
    <row r="74" spans="1:12" s="34" customFormat="1" ht="18" hidden="1" customHeight="1">
      <c r="A74" s="34">
        <f t="shared" si="6"/>
        <v>12</v>
      </c>
      <c r="B74" s="34" t="str">
        <f t="shared" si="4"/>
        <v>DARAT</v>
      </c>
      <c r="D74" s="252" t="str">
        <f t="array" ref="D74">IFERROR(VLOOKUP($I$2,IF(DATAKBB[NO]='LAMPIRAN-2020'!A74,DATAKBB[[TANGGAL]:[TARRA]],0),2,FALSE),"")</f>
        <v/>
      </c>
      <c r="E74" s="247" t="str">
        <f t="array" ref="E74">IFERROR(VLOOKUP($I$2,IF(DATAKBB[NO]='LAMPIRAN-2020'!A74,DATAKBB[[TANGGAL]:[TARRA]],0),3,FALSE),"")</f>
        <v/>
      </c>
      <c r="F74" s="255" t="str">
        <f t="array" ref="F74">IFERROR(VLOOKUP($I$2,IF(DATAKBB[NO]='LAMPIRAN-2020'!A74,DATAKBB[[TANGGAL]:[TARRA]],0),4,FALSE),"")</f>
        <v/>
      </c>
      <c r="G74" s="256" t="str">
        <f t="array" ref="G74">IFERROR(VLOOKUP($I$2,IF(DATAKBB[NO]='LAMPIRAN-2020'!A74,DATAKBB[[TANGGAL]:[TARRA]],0),5,FALSE),"")</f>
        <v/>
      </c>
      <c r="H74" s="257" t="str">
        <f t="array" ref="H74">IFERROR(VLOOKUP($I$2,IF(DATAKBB[NO]='LAMPIRAN-2020'!A74,DATAKBB[[TANGGAL]:[TARRA]],0),6,FALSE),"")</f>
        <v/>
      </c>
      <c r="I74" s="257" t="str">
        <f t="array" ref="I74">IFERROR(VLOOKUP($I$2,IF(DATAKBB[NO]='LAMPIRAN-2020'!A74,DATAKBB[[TANGGAL]:[TARRA]],0),7,FALSE),"")</f>
        <v/>
      </c>
      <c r="J74" s="257">
        <f t="shared" si="5"/>
        <v>0</v>
      </c>
      <c r="L74" s="216" t="str">
        <f t="shared" si="7"/>
        <v/>
      </c>
    </row>
    <row r="75" spans="1:12" s="34" customFormat="1" ht="18" hidden="1" customHeight="1">
      <c r="A75" s="34">
        <f t="shared" si="6"/>
        <v>13</v>
      </c>
      <c r="B75" s="34" t="str">
        <f t="shared" si="4"/>
        <v>DARAT</v>
      </c>
      <c r="D75" s="252" t="str">
        <f t="array" ref="D75">IFERROR(VLOOKUP($I$2,IF(DATAKBB[NO]='LAMPIRAN-2020'!A75,DATAKBB[[TANGGAL]:[TARRA]],0),2,FALSE),"")</f>
        <v/>
      </c>
      <c r="E75" s="247" t="str">
        <f t="array" ref="E75">IFERROR(VLOOKUP($I$2,IF(DATAKBB[NO]='LAMPIRAN-2020'!A75,DATAKBB[[TANGGAL]:[TARRA]],0),3,FALSE),"")</f>
        <v/>
      </c>
      <c r="F75" s="255" t="str">
        <f t="array" ref="F75">IFERROR(VLOOKUP($I$2,IF(DATAKBB[NO]='LAMPIRAN-2020'!A75,DATAKBB[[TANGGAL]:[TARRA]],0),4,FALSE),"")</f>
        <v/>
      </c>
      <c r="G75" s="256" t="str">
        <f t="array" ref="G75">IFERROR(VLOOKUP($I$2,IF(DATAKBB[NO]='LAMPIRAN-2020'!A75,DATAKBB[[TANGGAL]:[TARRA]],0),5,FALSE),"")</f>
        <v/>
      </c>
      <c r="H75" s="257" t="str">
        <f t="array" ref="H75">IFERROR(VLOOKUP($I$2,IF(DATAKBB[NO]='LAMPIRAN-2020'!A75,DATAKBB[[TANGGAL]:[TARRA]],0),6,FALSE),"")</f>
        <v/>
      </c>
      <c r="I75" s="257" t="str">
        <f t="array" ref="I75">IFERROR(VLOOKUP($I$2,IF(DATAKBB[NO]='LAMPIRAN-2020'!A75,DATAKBB[[TANGGAL]:[TARRA]],0),7,FALSE),"")</f>
        <v/>
      </c>
      <c r="J75" s="257">
        <f t="shared" si="5"/>
        <v>0</v>
      </c>
      <c r="L75" s="216" t="str">
        <f t="shared" si="7"/>
        <v/>
      </c>
    </row>
    <row r="76" spans="1:12" s="34" customFormat="1" ht="18" hidden="1" customHeight="1">
      <c r="A76" s="34">
        <f t="shared" si="6"/>
        <v>14</v>
      </c>
      <c r="B76" s="34" t="str">
        <f t="shared" si="4"/>
        <v>DARAT</v>
      </c>
      <c r="D76" s="252" t="str">
        <f t="array" ref="D76">IFERROR(VLOOKUP($I$2,IF(DATAKBB[NO]='LAMPIRAN-2020'!A76,DATAKBB[[TANGGAL]:[TARRA]],0),2,FALSE),"")</f>
        <v/>
      </c>
      <c r="E76" s="247" t="str">
        <f t="array" ref="E76">IFERROR(VLOOKUP($I$2,IF(DATAKBB[NO]='LAMPIRAN-2020'!A76,DATAKBB[[TANGGAL]:[TARRA]],0),3,FALSE),"")</f>
        <v/>
      </c>
      <c r="F76" s="255" t="str">
        <f t="array" ref="F76">IFERROR(VLOOKUP($I$2,IF(DATAKBB[NO]='LAMPIRAN-2020'!A76,DATAKBB[[TANGGAL]:[TARRA]],0),4,FALSE),"")</f>
        <v/>
      </c>
      <c r="G76" s="256" t="str">
        <f t="array" ref="G76">IFERROR(VLOOKUP($I$2,IF(DATAKBB[NO]='LAMPIRAN-2020'!A76,DATAKBB[[TANGGAL]:[TARRA]],0),5,FALSE),"")</f>
        <v/>
      </c>
      <c r="H76" s="257" t="str">
        <f t="array" ref="H76">IFERROR(VLOOKUP($I$2,IF(DATAKBB[NO]='LAMPIRAN-2020'!A76,DATAKBB[[TANGGAL]:[TARRA]],0),6,FALSE),"")</f>
        <v/>
      </c>
      <c r="I76" s="257" t="str">
        <f t="array" ref="I76">IFERROR(VLOOKUP($I$2,IF(DATAKBB[NO]='LAMPIRAN-2020'!A76,DATAKBB[[TANGGAL]:[TARRA]],0),7,FALSE),"")</f>
        <v/>
      </c>
      <c r="J76" s="257">
        <f t="shared" si="5"/>
        <v>0</v>
      </c>
      <c r="L76" s="216" t="str">
        <f t="shared" si="7"/>
        <v/>
      </c>
    </row>
    <row r="77" spans="1:12" s="34" customFormat="1" ht="18" hidden="1" customHeight="1">
      <c r="A77" s="34">
        <f t="shared" si="6"/>
        <v>15</v>
      </c>
      <c r="B77" s="34" t="str">
        <f t="shared" si="4"/>
        <v>DARAT</v>
      </c>
      <c r="D77" s="252" t="str">
        <f t="array" ref="D77">IFERROR(VLOOKUP($I$2,IF(DATAKBB[NO]='LAMPIRAN-2020'!A77,DATAKBB[[TANGGAL]:[TARRA]],0),2,FALSE),"")</f>
        <v/>
      </c>
      <c r="E77" s="247" t="str">
        <f t="array" ref="E77">IFERROR(VLOOKUP($I$2,IF(DATAKBB[NO]='LAMPIRAN-2020'!A77,DATAKBB[[TANGGAL]:[TARRA]],0),3,FALSE),"")</f>
        <v/>
      </c>
      <c r="F77" s="255" t="str">
        <f t="array" ref="F77">IFERROR(VLOOKUP($I$2,IF(DATAKBB[NO]='LAMPIRAN-2020'!A77,DATAKBB[[TANGGAL]:[TARRA]],0),4,FALSE),"")</f>
        <v/>
      </c>
      <c r="G77" s="256" t="str">
        <f t="array" ref="G77">IFERROR(VLOOKUP($I$2,IF(DATAKBB[NO]='LAMPIRAN-2020'!A77,DATAKBB[[TANGGAL]:[TARRA]],0),5,FALSE),"")</f>
        <v/>
      </c>
      <c r="H77" s="257" t="str">
        <f t="array" ref="H77">IFERROR(VLOOKUP($I$2,IF(DATAKBB[NO]='LAMPIRAN-2020'!A77,DATAKBB[[TANGGAL]:[TARRA]],0),6,FALSE),"")</f>
        <v/>
      </c>
      <c r="I77" s="257" t="str">
        <f t="array" ref="I77">IFERROR(VLOOKUP($I$2,IF(DATAKBB[NO]='LAMPIRAN-2020'!A77,DATAKBB[[TANGGAL]:[TARRA]],0),7,FALSE),"")</f>
        <v/>
      </c>
      <c r="J77" s="257">
        <f t="shared" si="5"/>
        <v>0</v>
      </c>
      <c r="L77" s="216" t="str">
        <f t="shared" si="7"/>
        <v/>
      </c>
    </row>
    <row r="78" spans="1:12" s="34" customFormat="1" ht="18" hidden="1" customHeight="1">
      <c r="A78" s="34">
        <f t="shared" si="6"/>
        <v>16</v>
      </c>
      <c r="B78" s="34" t="str">
        <f t="shared" si="4"/>
        <v>DARAT</v>
      </c>
      <c r="D78" s="252" t="str">
        <f t="array" ref="D78">IFERROR(VLOOKUP($I$2,IF(DATAKBB[NO]='LAMPIRAN-2020'!A78,DATAKBB[[TANGGAL]:[TARRA]],0),2,FALSE),"")</f>
        <v/>
      </c>
      <c r="E78" s="247" t="str">
        <f t="array" ref="E78">IFERROR(VLOOKUP($I$2,IF(DATAKBB[NO]='LAMPIRAN-2020'!A78,DATAKBB[[TANGGAL]:[TARRA]],0),3,FALSE),"")</f>
        <v/>
      </c>
      <c r="F78" s="255" t="str">
        <f t="array" ref="F78">IFERROR(VLOOKUP($I$2,IF(DATAKBB[NO]='LAMPIRAN-2020'!A78,DATAKBB[[TANGGAL]:[TARRA]],0),4,FALSE),"")</f>
        <v/>
      </c>
      <c r="G78" s="256" t="str">
        <f t="array" ref="G78">IFERROR(VLOOKUP($I$2,IF(DATAKBB[NO]='LAMPIRAN-2020'!A78,DATAKBB[[TANGGAL]:[TARRA]],0),5,FALSE),"")</f>
        <v/>
      </c>
      <c r="H78" s="257" t="str">
        <f t="array" ref="H78">IFERROR(VLOOKUP($I$2,IF(DATAKBB[NO]='LAMPIRAN-2020'!A78,DATAKBB[[TANGGAL]:[TARRA]],0),6,FALSE),"")</f>
        <v/>
      </c>
      <c r="I78" s="257" t="str">
        <f t="array" ref="I78">IFERROR(VLOOKUP($I$2,IF(DATAKBB[NO]='LAMPIRAN-2020'!A78,DATAKBB[[TANGGAL]:[TARRA]],0),7,FALSE),"")</f>
        <v/>
      </c>
      <c r="J78" s="257">
        <f>IFERROR(H78-I78,0)</f>
        <v>0</v>
      </c>
      <c r="L78" s="216" t="str">
        <f t="shared" si="7"/>
        <v/>
      </c>
    </row>
    <row r="79" spans="1:12" s="34" customFormat="1" ht="18" hidden="1" customHeight="1">
      <c r="A79" s="34">
        <f t="shared" si="6"/>
        <v>17</v>
      </c>
      <c r="B79" s="34" t="str">
        <f t="shared" si="4"/>
        <v>DARAT</v>
      </c>
      <c r="D79" s="252" t="str">
        <f t="array" ref="D79">IFERROR(VLOOKUP($I$2,IF(DATAKBB[NO]='LAMPIRAN-2020'!A79,DATAKBB[[TANGGAL]:[TARRA]],0),2,FALSE),"")</f>
        <v/>
      </c>
      <c r="E79" s="247" t="str">
        <f t="array" ref="E79">IFERROR(VLOOKUP($I$2,IF(DATAKBB[NO]='LAMPIRAN-2020'!A79,DATAKBB[[TANGGAL]:[TARRA]],0),3,FALSE),"")</f>
        <v/>
      </c>
      <c r="F79" s="255" t="str">
        <f t="array" ref="F79">IFERROR(VLOOKUP($I$2,IF(DATAKBB[NO]='LAMPIRAN-2020'!A79,DATAKBB[[TANGGAL]:[TARRA]],0),4,FALSE),"")</f>
        <v/>
      </c>
      <c r="G79" s="256" t="str">
        <f t="array" ref="G79">IFERROR(VLOOKUP($I$2,IF(DATAKBB[NO]='LAMPIRAN-2020'!A79,DATAKBB[[TANGGAL]:[TARRA]],0),5,FALSE),"")</f>
        <v/>
      </c>
      <c r="H79" s="257" t="str">
        <f t="array" ref="H79">IFERROR(VLOOKUP($I$2,IF(DATAKBB[NO]='LAMPIRAN-2020'!A79,DATAKBB[[TANGGAL]:[TARRA]],0),6,FALSE),"")</f>
        <v/>
      </c>
      <c r="I79" s="257" t="str">
        <f t="array" ref="I79">IFERROR(VLOOKUP($I$2,IF(DATAKBB[NO]='LAMPIRAN-2020'!A79,DATAKBB[[TANGGAL]:[TARRA]],0),7,FALSE),"")</f>
        <v/>
      </c>
      <c r="J79" s="257">
        <f>IFERROR(H79-I79,0)</f>
        <v>0</v>
      </c>
      <c r="L79" s="216" t="str">
        <f t="shared" si="7"/>
        <v/>
      </c>
    </row>
    <row r="80" spans="1:12" s="34" customFormat="1" ht="18" hidden="1" customHeight="1">
      <c r="A80" s="34">
        <f t="shared" si="6"/>
        <v>18</v>
      </c>
      <c r="B80" s="34" t="str">
        <f t="shared" si="4"/>
        <v>DARAT</v>
      </c>
      <c r="D80" s="252" t="str">
        <f t="array" ref="D80">IFERROR(VLOOKUP($I$2,IF(DATAKBB[NO]='LAMPIRAN-2020'!A80,DATAKBB[[TANGGAL]:[TARRA]],0),2,FALSE),"")</f>
        <v/>
      </c>
      <c r="E80" s="247" t="str">
        <f t="array" ref="E80">IFERROR(VLOOKUP($I$2,IF(DATAKBB[NO]='LAMPIRAN-2020'!A80,DATAKBB[[TANGGAL]:[TARRA]],0),3,FALSE),"")</f>
        <v/>
      </c>
      <c r="F80" s="255" t="str">
        <f t="array" ref="F80">IFERROR(VLOOKUP($I$2,IF(DATAKBB[NO]='LAMPIRAN-2020'!A80,DATAKBB[[TANGGAL]:[TARRA]],0),4,FALSE),"")</f>
        <v/>
      </c>
      <c r="G80" s="256" t="str">
        <f t="array" ref="G80">IFERROR(VLOOKUP($I$2,IF(DATAKBB[NO]='LAMPIRAN-2020'!A80,DATAKBB[[TANGGAL]:[TARRA]],0),5,FALSE),"")</f>
        <v/>
      </c>
      <c r="H80" s="257" t="str">
        <f t="array" ref="H80">IFERROR(VLOOKUP($I$2,IF(DATAKBB[NO]='LAMPIRAN-2020'!A80,DATAKBB[[TANGGAL]:[TARRA]],0),6,FALSE),"")</f>
        <v/>
      </c>
      <c r="I80" s="257" t="str">
        <f t="array" ref="I80">IFERROR(VLOOKUP($I$2,IF(DATAKBB[NO]='LAMPIRAN-2020'!A80,DATAKBB[[TANGGAL]:[TARRA]],0),7,FALSE),"")</f>
        <v/>
      </c>
      <c r="J80" s="257">
        <f>IFERROR(H80-I80,0)</f>
        <v>0</v>
      </c>
      <c r="L80" s="216" t="str">
        <f t="shared" si="7"/>
        <v/>
      </c>
    </row>
    <row r="81" spans="1:12" s="34" customFormat="1" ht="18" hidden="1" customHeight="1">
      <c r="A81" s="34">
        <f t="shared" si="6"/>
        <v>19</v>
      </c>
      <c r="B81" s="34" t="str">
        <f t="shared" si="4"/>
        <v>DARAT</v>
      </c>
      <c r="D81" s="252" t="str">
        <f t="array" ref="D81">IFERROR(VLOOKUP($I$2,IF(DATAKBB[NO]='LAMPIRAN-2020'!A81,DATAKBB[[TANGGAL]:[TARRA]],0),2,FALSE),"")</f>
        <v/>
      </c>
      <c r="E81" s="247" t="str">
        <f t="array" ref="E81">IFERROR(VLOOKUP($I$2,IF(DATAKBB[NO]='LAMPIRAN-2020'!A81,DATAKBB[[TANGGAL]:[TARRA]],0),3,FALSE),"")</f>
        <v/>
      </c>
      <c r="F81" s="255" t="str">
        <f t="array" ref="F81">IFERROR(VLOOKUP($I$2,IF(DATAKBB[NO]='LAMPIRAN-2020'!A81,DATAKBB[[TANGGAL]:[TARRA]],0),4,FALSE),"")</f>
        <v/>
      </c>
      <c r="G81" s="256" t="str">
        <f t="array" ref="G81">IFERROR(VLOOKUP($I$2,IF(DATAKBB[NO]='LAMPIRAN-2020'!A81,DATAKBB[[TANGGAL]:[TARRA]],0),5,FALSE),"")</f>
        <v/>
      </c>
      <c r="H81" s="257" t="str">
        <f t="array" ref="H81">IFERROR(VLOOKUP($I$2,IF(DATAKBB[NO]='LAMPIRAN-2020'!A81,DATAKBB[[TANGGAL]:[TARRA]],0),6,FALSE),"")</f>
        <v/>
      </c>
      <c r="I81" s="257" t="str">
        <f t="array" ref="I81">IFERROR(VLOOKUP($I$2,IF(DATAKBB[NO]='LAMPIRAN-2020'!A81,DATAKBB[[TANGGAL]:[TARRA]],0),7,FALSE),"")</f>
        <v/>
      </c>
      <c r="J81" s="257">
        <f>IFERROR(H81-I81,0)</f>
        <v>0</v>
      </c>
      <c r="L81" s="216" t="str">
        <f t="shared" si="7"/>
        <v/>
      </c>
    </row>
    <row r="82" spans="1:12" s="34" customFormat="1" ht="18" hidden="1" customHeight="1">
      <c r="A82" s="34">
        <f t="shared" si="6"/>
        <v>20</v>
      </c>
      <c r="B82" s="34" t="str">
        <f t="shared" si="4"/>
        <v>DARAT</v>
      </c>
      <c r="D82" s="252" t="str">
        <f t="array" ref="D82">IFERROR(VLOOKUP($I$2,IF(DATAKBB[NO]='LAMPIRAN-2020'!A82,DATAKBB[[TANGGAL]:[TARRA]],0),2,FALSE),"")</f>
        <v/>
      </c>
      <c r="E82" s="247" t="str">
        <f t="array" ref="E82">IFERROR(VLOOKUP($I$2,IF(DATAKBB[NO]='LAMPIRAN-2020'!A82,DATAKBB[[TANGGAL]:[TARRA]],0),3,FALSE),"")</f>
        <v/>
      </c>
      <c r="F82" s="255" t="str">
        <f t="array" ref="F82">IFERROR(VLOOKUP($I$2,IF(DATAKBB[NO]='LAMPIRAN-2020'!A82,DATAKBB[[TANGGAL]:[TARRA]],0),4,FALSE),"")</f>
        <v/>
      </c>
      <c r="G82" s="256" t="str">
        <f t="array" ref="G82">IFERROR(VLOOKUP($I$2,IF(DATAKBB[NO]='LAMPIRAN-2020'!A82,DATAKBB[[TANGGAL]:[TARRA]],0),5,FALSE),"")</f>
        <v/>
      </c>
      <c r="H82" s="257" t="str">
        <f t="array" ref="H82">IFERROR(VLOOKUP($I$2,IF(DATAKBB[NO]='LAMPIRAN-2020'!A82,DATAKBB[[TANGGAL]:[TARRA]],0),6,FALSE),"")</f>
        <v/>
      </c>
      <c r="I82" s="257" t="str">
        <f t="array" ref="I82">IFERROR(VLOOKUP($I$2,IF(DATAKBB[NO]='LAMPIRAN-2020'!A82,DATAKBB[[TANGGAL]:[TARRA]],0),7,FALSE),"")</f>
        <v/>
      </c>
      <c r="J82" s="257">
        <f>IFERROR(H82-I82,0)</f>
        <v>0</v>
      </c>
      <c r="L82" s="216" t="str">
        <f t="shared" si="7"/>
        <v/>
      </c>
    </row>
    <row r="83" spans="1:12" s="34" customFormat="1" ht="5.0999999999999996" customHeight="1" thickBot="1">
      <c r="D83" s="162"/>
      <c r="E83" s="163"/>
      <c r="F83" s="164"/>
      <c r="G83" s="165"/>
      <c r="H83" s="166"/>
      <c r="I83" s="166"/>
      <c r="J83" s="166"/>
      <c r="L83" s="216" t="s">
        <v>199</v>
      </c>
    </row>
    <row r="84" spans="1:12" s="34" customFormat="1" ht="21.95" customHeight="1" thickTop="1">
      <c r="D84" s="35"/>
      <c r="E84" s="22"/>
      <c r="F84" s="304" t="s">
        <v>66</v>
      </c>
      <c r="G84" s="304">
        <f>SUM(G63:G83)</f>
        <v>0</v>
      </c>
      <c r="H84" s="313">
        <f>SUM(H63:H83)</f>
        <v>0</v>
      </c>
      <c r="I84" s="313">
        <f>SUM(I63:I83)</f>
        <v>0</v>
      </c>
      <c r="J84" s="313">
        <f>SUM(J63:J83)</f>
        <v>0</v>
      </c>
      <c r="L84" s="216" t="s">
        <v>199</v>
      </c>
    </row>
    <row r="85" spans="1:12" s="34" customFormat="1" ht="21.95" customHeight="1">
      <c r="D85" s="35"/>
      <c r="E85" s="22"/>
      <c r="F85" s="306" t="s">
        <v>67</v>
      </c>
      <c r="G85" s="307">
        <f>SUMIFS(DATAKBB[TN],DATAKBB[TANGGAL],"&lt;="&amp;DATE(YEAR($I$2),MONTH($I$2),DAY($I$2)),DATAKBB[TANGGAL],"&gt;="&amp;DATE(YEAR($I$2),MONTH($I$2),1))</f>
        <v>0</v>
      </c>
      <c r="H85" s="314">
        <f>SUMIFS(DATAKBB[BRUTO],DATAKBB[TANGGAL],"&lt;="&amp;DATE(YEAR($I$2),MONTH($I$2),DAY($I$2)),DATAKBB[TANGGAL],"&gt;="&amp;DATE(YEAR($I$2),MONTH($I$2),1))</f>
        <v>0</v>
      </c>
      <c r="I85" s="314">
        <f>SUMIFS(DATAKBB[TARRA],DATAKBB[TANGGAL],"&lt;="&amp;DATE(YEAR($I$2),MONTH($I$2),DAY($I$2)),DATAKBB[TANGGAL],"&gt;="&amp;DATE(YEAR($I$2),MONTH($I$2),1))</f>
        <v>0</v>
      </c>
      <c r="J85" s="314">
        <f>SUMIFS(DATAKBB[NETTO],DATAKBB[TANGGAL],"&lt;="&amp;DATE(YEAR($I$2),MONTH($I$2),DAY($I$2)),DATAKBB[TANGGAL],"&gt;="&amp;DATE(YEAR($I$2),MONTH($I$2),1))</f>
        <v>0</v>
      </c>
      <c r="L85" s="216" t="s">
        <v>199</v>
      </c>
    </row>
    <row r="86" spans="1:12" s="34" customFormat="1" ht="15" hidden="1" customHeight="1">
      <c r="D86" s="35"/>
      <c r="E86" s="22"/>
      <c r="F86" s="37"/>
      <c r="G86" s="37"/>
      <c r="H86" s="37"/>
      <c r="I86" s="37"/>
      <c r="J86" s="37"/>
      <c r="L86" s="216"/>
    </row>
    <row r="87" spans="1:12" s="34" customFormat="1" ht="21.95" hidden="1" customHeight="1">
      <c r="D87" s="35"/>
      <c r="E87" s="22"/>
      <c r="F87" s="628" t="s">
        <v>245</v>
      </c>
      <c r="G87" s="629"/>
      <c r="H87" s="300">
        <f t="shared" ref="H87:J88" si="8">SUM(H84,H57)</f>
        <v>0</v>
      </c>
      <c r="I87" s="300">
        <f t="shared" si="8"/>
        <v>0</v>
      </c>
      <c r="J87" s="300">
        <f t="shared" si="8"/>
        <v>0</v>
      </c>
      <c r="L87" s="216"/>
    </row>
    <row r="88" spans="1:12" s="310" customFormat="1" ht="21.95" customHeight="1">
      <c r="D88" s="309"/>
      <c r="E88" s="311"/>
      <c r="F88" s="615" t="s">
        <v>247</v>
      </c>
      <c r="G88" s="616"/>
      <c r="H88" s="315">
        <f t="shared" si="8"/>
        <v>3380370</v>
      </c>
      <c r="I88" s="315">
        <f t="shared" si="8"/>
        <v>1500120</v>
      </c>
      <c r="J88" s="315">
        <f t="shared" ca="1" si="8"/>
        <v>1880250</v>
      </c>
      <c r="L88" s="312" t="s">
        <v>199</v>
      </c>
    </row>
    <row r="89" spans="1:12" s="34" customFormat="1" ht="15" customHeight="1">
      <c r="D89" s="35"/>
      <c r="E89" s="22"/>
      <c r="F89" s="37"/>
      <c r="G89" s="37"/>
      <c r="H89" s="37"/>
      <c r="I89" s="37"/>
      <c r="J89" s="37"/>
      <c r="L89" s="216" t="s">
        <v>199</v>
      </c>
    </row>
    <row r="90" spans="1:12" s="34" customFormat="1" ht="20.100000000000001" customHeight="1">
      <c r="D90" s="625" t="s">
        <v>72</v>
      </c>
      <c r="E90" s="626"/>
      <c r="F90" s="626"/>
      <c r="G90" s="627"/>
      <c r="H90" s="46" t="s">
        <v>73</v>
      </c>
      <c r="I90" s="46" t="s">
        <v>73</v>
      </c>
      <c r="J90" s="291" t="s">
        <v>73</v>
      </c>
      <c r="L90" s="216" t="s">
        <v>199</v>
      </c>
    </row>
    <row r="91" spans="1:12" s="34" customFormat="1" ht="20.100000000000001" customHeight="1">
      <c r="D91" s="26" t="s">
        <v>58</v>
      </c>
      <c r="E91" s="27" t="s">
        <v>59</v>
      </c>
      <c r="F91" s="28" t="s">
        <v>60</v>
      </c>
      <c r="G91" s="27" t="s">
        <v>61</v>
      </c>
      <c r="H91" s="100" t="s">
        <v>74</v>
      </c>
      <c r="I91" s="100" t="s">
        <v>75</v>
      </c>
      <c r="J91" s="292" t="s">
        <v>76</v>
      </c>
      <c r="L91" s="216" t="s">
        <v>199</v>
      </c>
    </row>
    <row r="92" spans="1:12" s="34" customFormat="1" ht="20.100000000000001" customHeight="1" thickBot="1">
      <c r="D92" s="30">
        <v>1</v>
      </c>
      <c r="E92" s="31">
        <v>2</v>
      </c>
      <c r="F92" s="30">
        <v>3</v>
      </c>
      <c r="G92" s="32">
        <v>4</v>
      </c>
      <c r="H92" s="33">
        <v>5</v>
      </c>
      <c r="I92" s="33">
        <v>6</v>
      </c>
      <c r="J92" s="33" t="s">
        <v>65</v>
      </c>
      <c r="L92" s="216" t="s">
        <v>199</v>
      </c>
    </row>
    <row r="93" spans="1:12" s="34" customFormat="1" ht="20.100000000000001" customHeight="1" thickTop="1">
      <c r="A93" s="34">
        <v>1</v>
      </c>
      <c r="D93" s="258" t="str">
        <f t="array" ref="D93">IFERROR(VLOOKUP($I$2,IF(DATAKBS[NO]='LAMPIRAN-2020'!A93,DATAKBS[[TANGGAL]:[TARRA]],0),2,FALSE),"")</f>
        <v/>
      </c>
      <c r="E93" s="259" t="str">
        <f t="array" ref="E93">IFERROR(VLOOKUP($I$2,IF(DATAKBS[NO]='LAMPIRAN-2020'!A93,DATAKBS[[TANGGAL]:[TARRA]],0),3,FALSE),"NIHIL")</f>
        <v>NIHIL</v>
      </c>
      <c r="F93" s="260" t="str">
        <f t="array" ref="F93">IFERROR(VLOOKUP($I$2,IF(DATAKBS[NO]='LAMPIRAN-2020'!A93,DATAKBS[[TANGGAL]:[TARRA]],0),4,FALSE),"")</f>
        <v/>
      </c>
      <c r="G93" s="260" t="str">
        <f t="array" ref="G93">IFERROR(VLOOKUP($I$2,IF(DATAKBS[NO]='LAMPIRAN-2020'!A93,DATAKBS[[TANGGAL]:[TARRA]],0),5,FALSE),"")</f>
        <v/>
      </c>
      <c r="H93" s="261" t="str">
        <f t="array" ref="H93">IFERROR(VLOOKUP($I$2,IF(DATAKBS[NO]='LAMPIRAN-2020'!A93,DATAKBS[[TANGGAL]:[TARRA]],0),6,FALSE),"")</f>
        <v/>
      </c>
      <c r="I93" s="261" t="str">
        <f t="array" ref="I93">IFERROR(VLOOKUP($I$2,IF(DATAKBS[NO]='LAMPIRAN-2020'!A93,DATAKBS[[TANGGAL]:[TARRA]],0),7,FALSE),"")</f>
        <v/>
      </c>
      <c r="J93" s="261">
        <f>IFERROR(H93-I93,0)</f>
        <v>0</v>
      </c>
      <c r="L93" s="216" t="s">
        <v>199</v>
      </c>
    </row>
    <row r="94" spans="1:12" s="34" customFormat="1" ht="20.100000000000001" hidden="1" customHeight="1">
      <c r="A94" s="34">
        <f t="shared" ref="A94:A117" si="9">+A93+1</f>
        <v>2</v>
      </c>
      <c r="D94" s="262" t="str">
        <f t="array" ref="D94">IFERROR(VLOOKUP($I$2,IF(DATAKBS[NO]='LAMPIRAN-2020'!A94,DATAKBS[[TANGGAL]:[TARRA]],0),2,FALSE),"")</f>
        <v/>
      </c>
      <c r="E94" s="255" t="str">
        <f t="array" ref="E94">IFERROR(VLOOKUP($I$2,IF(DATAKBS[NO]='LAMPIRAN-2020'!A94,DATAKBS[[TANGGAL]:[TARRA]],0),3,FALSE),"")</f>
        <v/>
      </c>
      <c r="F94" s="263" t="str">
        <f t="array" ref="F94">IFERROR(VLOOKUP($I$2,IF(DATAKBS[NO]='LAMPIRAN-2020'!A94,DATAKBS[[TANGGAL]:[TARRA]],0),4,FALSE),"")</f>
        <v/>
      </c>
      <c r="G94" s="263" t="str">
        <f t="array" ref="G94">IFERROR(VLOOKUP($I$2,IF(DATAKBS[NO]='LAMPIRAN-2020'!A94,DATAKBS[[TANGGAL]:[TARRA]],0),5,FALSE),"")</f>
        <v/>
      </c>
      <c r="H94" s="264" t="str">
        <f t="array" ref="H94">IFERROR(VLOOKUP($I$2,IF(DATAKBS[NO]='LAMPIRAN-2020'!A94,DATAKBS[[TANGGAL]:[TARRA]],0),6,FALSE),"")</f>
        <v/>
      </c>
      <c r="I94" s="264" t="str">
        <f t="array" ref="I94">IFERROR(VLOOKUP($I$2,IF(DATAKBS[NO]='LAMPIRAN-2020'!A94,DATAKBS[[TANGGAL]:[TARRA]],0),7,FALSE),"")</f>
        <v/>
      </c>
      <c r="J94" s="264">
        <f>IFERROR(H94-I94,0)</f>
        <v>0</v>
      </c>
      <c r="L94" s="216" t="str">
        <f t="shared" ref="L94:L117" si="10">IF(J94=0,"","Ok")</f>
        <v/>
      </c>
    </row>
    <row r="95" spans="1:12" s="34" customFormat="1" ht="20.100000000000001" hidden="1" customHeight="1">
      <c r="A95" s="34">
        <f t="shared" si="9"/>
        <v>3</v>
      </c>
      <c r="D95" s="262" t="str">
        <f t="array" ref="D95">IFERROR(VLOOKUP($I$2,IF(DATAKBS[NO]='LAMPIRAN-2020'!A95,DATAKBS[[TANGGAL]:[TARRA]],0),2,FALSE),"")</f>
        <v/>
      </c>
      <c r="E95" s="255" t="str">
        <f t="array" ref="E95">IFERROR(VLOOKUP($I$2,IF(DATAKBS[NO]='LAMPIRAN-2020'!A95,DATAKBS[[TANGGAL]:[TARRA]],0),3,FALSE),"")</f>
        <v/>
      </c>
      <c r="F95" s="263" t="str">
        <f t="array" ref="F95">IFERROR(VLOOKUP($I$2,IF(DATAKBS[NO]='LAMPIRAN-2020'!A95,DATAKBS[[TANGGAL]:[TARRA]],0),4,FALSE),"")</f>
        <v/>
      </c>
      <c r="G95" s="263" t="str">
        <f t="array" ref="G95">IFERROR(VLOOKUP($I$2,IF(DATAKBS[NO]='LAMPIRAN-2020'!A95,DATAKBS[[TANGGAL]:[TARRA]],0),5,FALSE),"")</f>
        <v/>
      </c>
      <c r="H95" s="264" t="str">
        <f t="array" ref="H95">IFERROR(VLOOKUP($I$2,IF(DATAKBS[NO]='LAMPIRAN-2020'!A95,DATAKBS[[TANGGAL]:[TARRA]],0),6,FALSE),"")</f>
        <v/>
      </c>
      <c r="I95" s="264" t="str">
        <f t="array" ref="I95">IFERROR(VLOOKUP($I$2,IF(DATAKBS[NO]='LAMPIRAN-2020'!A95,DATAKBS[[TANGGAL]:[TARRA]],0),7,FALSE),"")</f>
        <v/>
      </c>
      <c r="J95" s="264">
        <f t="shared" ref="J95:J117" si="11">IFERROR(H95-I95,0)</f>
        <v>0</v>
      </c>
      <c r="L95" s="216" t="str">
        <f t="shared" si="10"/>
        <v/>
      </c>
    </row>
    <row r="96" spans="1:12" s="34" customFormat="1" ht="20.100000000000001" hidden="1" customHeight="1">
      <c r="A96" s="34">
        <f t="shared" si="9"/>
        <v>4</v>
      </c>
      <c r="D96" s="262" t="str">
        <f t="array" ref="D96">IFERROR(VLOOKUP($I$2,IF(DATAKBS[NO]='LAMPIRAN-2020'!A96,DATAKBS[[TANGGAL]:[TARRA]],0),2,FALSE),"")</f>
        <v/>
      </c>
      <c r="E96" s="255" t="str">
        <f t="array" ref="E96">IFERROR(VLOOKUP($I$2,IF(DATAKBS[NO]='LAMPIRAN-2020'!A96,DATAKBS[[TANGGAL]:[TARRA]],0),3,FALSE),"")</f>
        <v/>
      </c>
      <c r="F96" s="263" t="str">
        <f t="array" ref="F96">IFERROR(VLOOKUP($I$2,IF(DATAKBS[NO]='LAMPIRAN-2020'!A96,DATAKBS[[TANGGAL]:[TARRA]],0),4,FALSE),"")</f>
        <v/>
      </c>
      <c r="G96" s="263" t="str">
        <f t="array" ref="G96">IFERROR(VLOOKUP($I$2,IF(DATAKBS[NO]='LAMPIRAN-2020'!A96,DATAKBS[[TANGGAL]:[TARRA]],0),5,FALSE),"")</f>
        <v/>
      </c>
      <c r="H96" s="264" t="str">
        <f t="array" ref="H96">IFERROR(VLOOKUP($I$2,IF(DATAKBS[NO]='LAMPIRAN-2020'!A96,DATAKBS[[TANGGAL]:[TARRA]],0),6,FALSE),"")</f>
        <v/>
      </c>
      <c r="I96" s="264" t="str">
        <f t="array" ref="I96">IFERROR(VLOOKUP($I$2,IF(DATAKBS[NO]='LAMPIRAN-2020'!A96,DATAKBS[[TANGGAL]:[TARRA]],0),7,FALSE),"")</f>
        <v/>
      </c>
      <c r="J96" s="264">
        <f t="shared" si="11"/>
        <v>0</v>
      </c>
      <c r="L96" s="216" t="str">
        <f t="shared" si="10"/>
        <v/>
      </c>
    </row>
    <row r="97" spans="1:12" s="34" customFormat="1" ht="20.100000000000001" hidden="1" customHeight="1">
      <c r="A97" s="34">
        <f t="shared" si="9"/>
        <v>5</v>
      </c>
      <c r="D97" s="262" t="str">
        <f t="array" ref="D97">IFERROR(VLOOKUP($I$2,IF(DATAKBS[NO]='LAMPIRAN-2020'!A97,DATAKBS[[TANGGAL]:[TARRA]],0),2,FALSE),"")</f>
        <v/>
      </c>
      <c r="E97" s="255" t="str">
        <f t="array" ref="E97">IFERROR(VLOOKUP($I$2,IF(DATAKBS[NO]='LAMPIRAN-2020'!A97,DATAKBS[[TANGGAL]:[TARRA]],0),3,FALSE),"")</f>
        <v/>
      </c>
      <c r="F97" s="263" t="str">
        <f t="array" ref="F97">IFERROR(VLOOKUP($I$2,IF(DATAKBS[NO]='LAMPIRAN-2020'!A97,DATAKBS[[TANGGAL]:[TARRA]],0),4,FALSE),"")</f>
        <v/>
      </c>
      <c r="G97" s="263" t="str">
        <f t="array" ref="G97">IFERROR(VLOOKUP($I$2,IF(DATAKBS[NO]='LAMPIRAN-2020'!A97,DATAKBS[[TANGGAL]:[TARRA]],0),5,FALSE),"")</f>
        <v/>
      </c>
      <c r="H97" s="264" t="str">
        <f t="array" ref="H97">IFERROR(VLOOKUP($I$2,IF(DATAKBS[NO]='LAMPIRAN-2020'!A97,DATAKBS[[TANGGAL]:[TARRA]],0),6,FALSE),"")</f>
        <v/>
      </c>
      <c r="I97" s="264" t="str">
        <f t="array" ref="I97">IFERROR(VLOOKUP($I$2,IF(DATAKBS[NO]='LAMPIRAN-2020'!A97,DATAKBS[[TANGGAL]:[TARRA]],0),7,FALSE),"")</f>
        <v/>
      </c>
      <c r="J97" s="264">
        <f t="shared" si="11"/>
        <v>0</v>
      </c>
      <c r="L97" s="216" t="str">
        <f t="shared" si="10"/>
        <v/>
      </c>
    </row>
    <row r="98" spans="1:12" s="34" customFormat="1" ht="20.100000000000001" hidden="1" customHeight="1">
      <c r="A98" s="34">
        <f t="shared" si="9"/>
        <v>6</v>
      </c>
      <c r="D98" s="262" t="str">
        <f t="array" ref="D98">IFERROR(VLOOKUP($I$2,IF(DATAKBS[NO]='LAMPIRAN-2020'!A98,DATAKBS[[TANGGAL]:[TARRA]],0),2,FALSE),"")</f>
        <v/>
      </c>
      <c r="E98" s="255" t="str">
        <f t="array" ref="E98">IFERROR(VLOOKUP($I$2,IF(DATAKBS[NO]='LAMPIRAN-2020'!A98,DATAKBS[[TANGGAL]:[TARRA]],0),3,FALSE),"")</f>
        <v/>
      </c>
      <c r="F98" s="263" t="str">
        <f t="array" ref="F98">IFERROR(VLOOKUP($I$2,IF(DATAKBS[NO]='LAMPIRAN-2020'!A98,DATAKBS[[TANGGAL]:[TARRA]],0),4,FALSE),"")</f>
        <v/>
      </c>
      <c r="G98" s="263" t="str">
        <f t="array" ref="G98">IFERROR(VLOOKUP($I$2,IF(DATAKBS[NO]='LAMPIRAN-2020'!A98,DATAKBS[[TANGGAL]:[TARRA]],0),5,FALSE),"")</f>
        <v/>
      </c>
      <c r="H98" s="264" t="str">
        <f t="array" ref="H98">IFERROR(VLOOKUP($I$2,IF(DATAKBS[NO]='LAMPIRAN-2020'!A98,DATAKBS[[TANGGAL]:[TARRA]],0),6,FALSE),"")</f>
        <v/>
      </c>
      <c r="I98" s="264" t="str">
        <f t="array" ref="I98">IFERROR(VLOOKUP($I$2,IF(DATAKBS[NO]='LAMPIRAN-2020'!A98,DATAKBS[[TANGGAL]:[TARRA]],0),7,FALSE),"")</f>
        <v/>
      </c>
      <c r="J98" s="264">
        <f t="shared" si="11"/>
        <v>0</v>
      </c>
      <c r="L98" s="216" t="str">
        <f t="shared" si="10"/>
        <v/>
      </c>
    </row>
    <row r="99" spans="1:12" s="34" customFormat="1" ht="20.100000000000001" hidden="1" customHeight="1">
      <c r="A99" s="34">
        <f t="shared" si="9"/>
        <v>7</v>
      </c>
      <c r="D99" s="262" t="str">
        <f t="array" ref="D99">IFERROR(VLOOKUP($I$2,IF(DATAKBS[NO]='LAMPIRAN-2020'!A99,DATAKBS[[TANGGAL]:[TARRA]],0),2,FALSE),"")</f>
        <v/>
      </c>
      <c r="E99" s="255" t="str">
        <f t="array" ref="E99">IFERROR(VLOOKUP($I$2,IF(DATAKBS[NO]='LAMPIRAN-2020'!A99,DATAKBS[[TANGGAL]:[TARRA]],0),3,FALSE),"")</f>
        <v/>
      </c>
      <c r="F99" s="263" t="str">
        <f t="array" ref="F99">IFERROR(VLOOKUP($I$2,IF(DATAKBS[NO]='LAMPIRAN-2020'!A99,DATAKBS[[TANGGAL]:[TARRA]],0),4,FALSE),"")</f>
        <v/>
      </c>
      <c r="G99" s="263" t="str">
        <f t="array" ref="G99">IFERROR(VLOOKUP($I$2,IF(DATAKBS[NO]='LAMPIRAN-2020'!A99,DATAKBS[[TANGGAL]:[TARRA]],0),5,FALSE),"")</f>
        <v/>
      </c>
      <c r="H99" s="264" t="str">
        <f t="array" ref="H99">IFERROR(VLOOKUP($I$2,IF(DATAKBS[NO]='LAMPIRAN-2020'!A99,DATAKBS[[TANGGAL]:[TARRA]],0),6,FALSE),"")</f>
        <v/>
      </c>
      <c r="I99" s="264" t="str">
        <f t="array" ref="I99">IFERROR(VLOOKUP($I$2,IF(DATAKBS[NO]='LAMPIRAN-2020'!A99,DATAKBS[[TANGGAL]:[TARRA]],0),7,FALSE),"")</f>
        <v/>
      </c>
      <c r="J99" s="264">
        <f t="shared" si="11"/>
        <v>0</v>
      </c>
      <c r="L99" s="216" t="str">
        <f t="shared" si="10"/>
        <v/>
      </c>
    </row>
    <row r="100" spans="1:12" s="34" customFormat="1" ht="20.100000000000001" hidden="1" customHeight="1">
      <c r="A100" s="34">
        <f t="shared" si="9"/>
        <v>8</v>
      </c>
      <c r="D100" s="262" t="str">
        <f t="array" ref="D100">IFERROR(VLOOKUP($I$2,IF(DATAKBS[NO]='LAMPIRAN-2020'!A100,DATAKBS[[TANGGAL]:[TARRA]],0),2,FALSE),"")</f>
        <v/>
      </c>
      <c r="E100" s="255" t="str">
        <f t="array" ref="E100">IFERROR(VLOOKUP($I$2,IF(DATAKBS[NO]='LAMPIRAN-2020'!A100,DATAKBS[[TANGGAL]:[TARRA]],0),3,FALSE),"")</f>
        <v/>
      </c>
      <c r="F100" s="263" t="str">
        <f t="array" ref="F100">IFERROR(VLOOKUP($I$2,IF(DATAKBS[NO]='LAMPIRAN-2020'!A100,DATAKBS[[TANGGAL]:[TARRA]],0),4,FALSE),"")</f>
        <v/>
      </c>
      <c r="G100" s="263" t="str">
        <f t="array" ref="G100">IFERROR(VLOOKUP($I$2,IF(DATAKBS[NO]='LAMPIRAN-2020'!A100,DATAKBS[[TANGGAL]:[TARRA]],0),5,FALSE),"")</f>
        <v/>
      </c>
      <c r="H100" s="264" t="str">
        <f t="array" ref="H100">IFERROR(VLOOKUP($I$2,IF(DATAKBS[NO]='LAMPIRAN-2020'!A100,DATAKBS[[TANGGAL]:[TARRA]],0),6,FALSE),"")</f>
        <v/>
      </c>
      <c r="I100" s="264" t="str">
        <f t="array" ref="I100">IFERROR(VLOOKUP($I$2,IF(DATAKBS[NO]='LAMPIRAN-2020'!A100,DATAKBS[[TANGGAL]:[TARRA]],0),7,FALSE),"")</f>
        <v/>
      </c>
      <c r="J100" s="264">
        <f t="shared" si="11"/>
        <v>0</v>
      </c>
      <c r="L100" s="216" t="str">
        <f t="shared" si="10"/>
        <v/>
      </c>
    </row>
    <row r="101" spans="1:12" s="34" customFormat="1" ht="20.100000000000001" hidden="1" customHeight="1">
      <c r="A101" s="34">
        <f t="shared" si="9"/>
        <v>9</v>
      </c>
      <c r="D101" s="262" t="str">
        <f t="array" ref="D101">IFERROR(VLOOKUP($I$2,IF(DATAKBS[NO]='LAMPIRAN-2020'!A101,DATAKBS[[TANGGAL]:[TARRA]],0),2,FALSE),"")</f>
        <v/>
      </c>
      <c r="E101" s="255" t="str">
        <f t="array" ref="E101">IFERROR(VLOOKUP($I$2,IF(DATAKBS[NO]='LAMPIRAN-2020'!A101,DATAKBS[[TANGGAL]:[TARRA]],0),3,FALSE),"")</f>
        <v/>
      </c>
      <c r="F101" s="263" t="str">
        <f t="array" ref="F101">IFERROR(VLOOKUP($I$2,IF(DATAKBS[NO]='LAMPIRAN-2020'!A101,DATAKBS[[TANGGAL]:[TARRA]],0),4,FALSE),"")</f>
        <v/>
      </c>
      <c r="G101" s="263" t="str">
        <f t="array" ref="G101">IFERROR(VLOOKUP($I$2,IF(DATAKBS[NO]='LAMPIRAN-2020'!A101,DATAKBS[[TANGGAL]:[TARRA]],0),5,FALSE),"")</f>
        <v/>
      </c>
      <c r="H101" s="264" t="str">
        <f t="array" ref="H101">IFERROR(VLOOKUP($I$2,IF(DATAKBS[NO]='LAMPIRAN-2020'!A101,DATAKBS[[TANGGAL]:[TARRA]],0),6,FALSE),"")</f>
        <v/>
      </c>
      <c r="I101" s="264" t="str">
        <f t="array" ref="I101">IFERROR(VLOOKUP($I$2,IF(DATAKBS[NO]='LAMPIRAN-2020'!A101,DATAKBS[[TANGGAL]:[TARRA]],0),7,FALSE),"")</f>
        <v/>
      </c>
      <c r="J101" s="264">
        <f t="shared" si="11"/>
        <v>0</v>
      </c>
      <c r="L101" s="216" t="str">
        <f t="shared" si="10"/>
        <v/>
      </c>
    </row>
    <row r="102" spans="1:12" s="34" customFormat="1" ht="20.100000000000001" hidden="1" customHeight="1">
      <c r="A102" s="34">
        <f t="shared" si="9"/>
        <v>10</v>
      </c>
      <c r="D102" s="262" t="str">
        <f t="array" ref="D102">IFERROR(VLOOKUP($I$2,IF(DATAKBS[NO]='LAMPIRAN-2020'!A102,DATAKBS[[TANGGAL]:[TARRA]],0),2,FALSE),"")</f>
        <v/>
      </c>
      <c r="E102" s="255" t="str">
        <f t="array" ref="E102">IFERROR(VLOOKUP($I$2,IF(DATAKBS[NO]='LAMPIRAN-2020'!A102,DATAKBS[[TANGGAL]:[TARRA]],0),3,FALSE),"")</f>
        <v/>
      </c>
      <c r="F102" s="263" t="str">
        <f t="array" ref="F102">IFERROR(VLOOKUP($I$2,IF(DATAKBS[NO]='LAMPIRAN-2020'!A102,DATAKBS[[TANGGAL]:[TARRA]],0),4,FALSE),"")</f>
        <v/>
      </c>
      <c r="G102" s="263" t="str">
        <f t="array" ref="G102">IFERROR(VLOOKUP($I$2,IF(DATAKBS[NO]='LAMPIRAN-2020'!A102,DATAKBS[[TANGGAL]:[TARRA]],0),5,FALSE),"")</f>
        <v/>
      </c>
      <c r="H102" s="264" t="str">
        <f t="array" ref="H102">IFERROR(VLOOKUP($I$2,IF(DATAKBS[NO]='LAMPIRAN-2020'!A102,DATAKBS[[TANGGAL]:[TARRA]],0),6,FALSE),"")</f>
        <v/>
      </c>
      <c r="I102" s="264" t="str">
        <f t="array" ref="I102">IFERROR(VLOOKUP($I$2,IF(DATAKBS[NO]='LAMPIRAN-2020'!A102,DATAKBS[[TANGGAL]:[TARRA]],0),7,FALSE),"")</f>
        <v/>
      </c>
      <c r="J102" s="264">
        <f t="shared" si="11"/>
        <v>0</v>
      </c>
      <c r="L102" s="216" t="str">
        <f t="shared" si="10"/>
        <v/>
      </c>
    </row>
    <row r="103" spans="1:12" s="34" customFormat="1" ht="20.100000000000001" hidden="1" customHeight="1">
      <c r="A103" s="34">
        <f t="shared" si="9"/>
        <v>11</v>
      </c>
      <c r="D103" s="262" t="str">
        <f t="array" ref="D103">IFERROR(VLOOKUP($I$2,IF(DATAKBS[NO]='LAMPIRAN-2020'!A103,DATAKBS[[TANGGAL]:[TARRA]],0),2,FALSE),"")</f>
        <v/>
      </c>
      <c r="E103" s="255" t="str">
        <f t="array" ref="E103">IFERROR(VLOOKUP($I$2,IF(DATAKBS[NO]='LAMPIRAN-2020'!A103,DATAKBS[[TANGGAL]:[TARRA]],0),3,FALSE),"")</f>
        <v/>
      </c>
      <c r="F103" s="263" t="str">
        <f t="array" ref="F103">IFERROR(VLOOKUP($I$2,IF(DATAKBS[NO]='LAMPIRAN-2020'!A103,DATAKBS[[TANGGAL]:[TARRA]],0),4,FALSE),"")</f>
        <v/>
      </c>
      <c r="G103" s="263" t="str">
        <f t="array" ref="G103">IFERROR(VLOOKUP($I$2,IF(DATAKBS[NO]='LAMPIRAN-2020'!A103,DATAKBS[[TANGGAL]:[TARRA]],0),5,FALSE),"")</f>
        <v/>
      </c>
      <c r="H103" s="264" t="str">
        <f t="array" ref="H103">IFERROR(VLOOKUP($I$2,IF(DATAKBS[NO]='LAMPIRAN-2020'!A103,DATAKBS[[TANGGAL]:[TARRA]],0),6,FALSE),"")</f>
        <v/>
      </c>
      <c r="I103" s="264" t="str">
        <f t="array" ref="I103">IFERROR(VLOOKUP($I$2,IF(DATAKBS[NO]='LAMPIRAN-2020'!A103,DATAKBS[[TANGGAL]:[TARRA]],0),7,FALSE),"")</f>
        <v/>
      </c>
      <c r="J103" s="264">
        <f t="shared" si="11"/>
        <v>0</v>
      </c>
      <c r="L103" s="216" t="str">
        <f t="shared" si="10"/>
        <v/>
      </c>
    </row>
    <row r="104" spans="1:12" s="34" customFormat="1" ht="20.100000000000001" hidden="1" customHeight="1">
      <c r="A104" s="34">
        <f t="shared" si="9"/>
        <v>12</v>
      </c>
      <c r="D104" s="262" t="str">
        <f t="array" ref="D104">IFERROR(VLOOKUP($I$2,IF(DATAKBS[NO]='LAMPIRAN-2020'!A104,DATAKBS[[TANGGAL]:[TARRA]],0),2,FALSE),"")</f>
        <v/>
      </c>
      <c r="E104" s="255" t="str">
        <f t="array" ref="E104">IFERROR(VLOOKUP($I$2,IF(DATAKBS[NO]='LAMPIRAN-2020'!A104,DATAKBS[[TANGGAL]:[TARRA]],0),3,FALSE),"")</f>
        <v/>
      </c>
      <c r="F104" s="263" t="str">
        <f t="array" ref="F104">IFERROR(VLOOKUP($I$2,IF(DATAKBS[NO]='LAMPIRAN-2020'!A104,DATAKBS[[TANGGAL]:[TARRA]],0),4,FALSE),"")</f>
        <v/>
      </c>
      <c r="G104" s="263" t="str">
        <f t="array" ref="G104">IFERROR(VLOOKUP($I$2,IF(DATAKBS[NO]='LAMPIRAN-2020'!A104,DATAKBS[[TANGGAL]:[TARRA]],0),5,FALSE),"")</f>
        <v/>
      </c>
      <c r="H104" s="264" t="str">
        <f t="array" ref="H104">IFERROR(VLOOKUP($I$2,IF(DATAKBS[NO]='LAMPIRAN-2020'!A104,DATAKBS[[TANGGAL]:[TARRA]],0),6,FALSE),"")</f>
        <v/>
      </c>
      <c r="I104" s="264" t="str">
        <f t="array" ref="I104">IFERROR(VLOOKUP($I$2,IF(DATAKBS[NO]='LAMPIRAN-2020'!A104,DATAKBS[[TANGGAL]:[TARRA]],0),7,FALSE),"")</f>
        <v/>
      </c>
      <c r="J104" s="264">
        <f t="shared" si="11"/>
        <v>0</v>
      </c>
      <c r="L104" s="216" t="str">
        <f t="shared" si="10"/>
        <v/>
      </c>
    </row>
    <row r="105" spans="1:12" s="34" customFormat="1" ht="20.100000000000001" hidden="1" customHeight="1">
      <c r="A105" s="34">
        <f t="shared" si="9"/>
        <v>13</v>
      </c>
      <c r="D105" s="262" t="str">
        <f t="array" ref="D105">IFERROR(VLOOKUP($I$2,IF(DATAKBS[NO]='LAMPIRAN-2020'!A105,DATAKBS[[TANGGAL]:[TARRA]],0),2,FALSE),"")</f>
        <v/>
      </c>
      <c r="E105" s="255" t="str">
        <f t="array" ref="E105">IFERROR(VLOOKUP($I$2,IF(DATAKBS[NO]='LAMPIRAN-2020'!A105,DATAKBS[[TANGGAL]:[TARRA]],0),3,FALSE),"")</f>
        <v/>
      </c>
      <c r="F105" s="263" t="str">
        <f t="array" ref="F105">IFERROR(VLOOKUP($I$2,IF(DATAKBS[NO]='LAMPIRAN-2020'!A105,DATAKBS[[TANGGAL]:[TARRA]],0),4,FALSE),"")</f>
        <v/>
      </c>
      <c r="G105" s="263" t="str">
        <f t="array" ref="G105">IFERROR(VLOOKUP($I$2,IF(DATAKBS[NO]='LAMPIRAN-2020'!A105,DATAKBS[[TANGGAL]:[TARRA]],0),5,FALSE),"")</f>
        <v/>
      </c>
      <c r="H105" s="264" t="str">
        <f t="array" ref="H105">IFERROR(VLOOKUP($I$2,IF(DATAKBS[NO]='LAMPIRAN-2020'!A105,DATAKBS[[TANGGAL]:[TARRA]],0),6,FALSE),"")</f>
        <v/>
      </c>
      <c r="I105" s="264" t="str">
        <f t="array" ref="I105">IFERROR(VLOOKUP($I$2,IF(DATAKBS[NO]='LAMPIRAN-2020'!A105,DATAKBS[[TANGGAL]:[TARRA]],0),7,FALSE),"")</f>
        <v/>
      </c>
      <c r="J105" s="264">
        <f t="shared" si="11"/>
        <v>0</v>
      </c>
      <c r="L105" s="216" t="str">
        <f t="shared" si="10"/>
        <v/>
      </c>
    </row>
    <row r="106" spans="1:12" s="34" customFormat="1" ht="20.100000000000001" hidden="1" customHeight="1">
      <c r="A106" s="34">
        <f t="shared" si="9"/>
        <v>14</v>
      </c>
      <c r="D106" s="262" t="str">
        <f t="array" ref="D106">IFERROR(VLOOKUP($I$2,IF(DATAKBS[NO]='LAMPIRAN-2020'!A106,DATAKBS[[TANGGAL]:[TARRA]],0),2,FALSE),"")</f>
        <v/>
      </c>
      <c r="E106" s="255" t="str">
        <f t="array" ref="E106">IFERROR(VLOOKUP($I$2,IF(DATAKBS[NO]='LAMPIRAN-2020'!A106,DATAKBS[[TANGGAL]:[TARRA]],0),3,FALSE),"")</f>
        <v/>
      </c>
      <c r="F106" s="263" t="str">
        <f t="array" ref="F106">IFERROR(VLOOKUP($I$2,IF(DATAKBS[NO]='LAMPIRAN-2020'!A106,DATAKBS[[TANGGAL]:[TARRA]],0),4,FALSE),"")</f>
        <v/>
      </c>
      <c r="G106" s="263" t="str">
        <f t="array" ref="G106">IFERROR(VLOOKUP($I$2,IF(DATAKBS[NO]='LAMPIRAN-2020'!A106,DATAKBS[[TANGGAL]:[TARRA]],0),5,FALSE),"")</f>
        <v/>
      </c>
      <c r="H106" s="264" t="str">
        <f t="array" ref="H106">IFERROR(VLOOKUP($I$2,IF(DATAKBS[NO]='LAMPIRAN-2020'!A106,DATAKBS[[TANGGAL]:[TARRA]],0),6,FALSE),"")</f>
        <v/>
      </c>
      <c r="I106" s="264" t="str">
        <f t="array" ref="I106">IFERROR(VLOOKUP($I$2,IF(DATAKBS[NO]='LAMPIRAN-2020'!A106,DATAKBS[[TANGGAL]:[TARRA]],0),7,FALSE),"")</f>
        <v/>
      </c>
      <c r="J106" s="264">
        <f t="shared" si="11"/>
        <v>0</v>
      </c>
      <c r="L106" s="216" t="str">
        <f t="shared" si="10"/>
        <v/>
      </c>
    </row>
    <row r="107" spans="1:12" s="34" customFormat="1" ht="20.100000000000001" hidden="1" customHeight="1">
      <c r="A107" s="34">
        <f t="shared" si="9"/>
        <v>15</v>
      </c>
      <c r="D107" s="262" t="str">
        <f t="array" ref="D107">IFERROR(VLOOKUP($I$2,IF(DATAKBS[NO]='LAMPIRAN-2020'!A107,DATAKBS[[TANGGAL]:[TARRA]],0),2,FALSE),"")</f>
        <v/>
      </c>
      <c r="E107" s="255" t="str">
        <f t="array" ref="E107">IFERROR(VLOOKUP($I$2,IF(DATAKBS[NO]='LAMPIRAN-2020'!A107,DATAKBS[[TANGGAL]:[TARRA]],0),3,FALSE),"")</f>
        <v/>
      </c>
      <c r="F107" s="263" t="str">
        <f t="array" ref="F107">IFERROR(VLOOKUP($I$2,IF(DATAKBS[NO]='LAMPIRAN-2020'!A107,DATAKBS[[TANGGAL]:[TARRA]],0),4,FALSE),"")</f>
        <v/>
      </c>
      <c r="G107" s="263" t="str">
        <f t="array" ref="G107">IFERROR(VLOOKUP($I$2,IF(DATAKBS[NO]='LAMPIRAN-2020'!A107,DATAKBS[[TANGGAL]:[TARRA]],0),5,FALSE),"")</f>
        <v/>
      </c>
      <c r="H107" s="264" t="str">
        <f t="array" ref="H107">IFERROR(VLOOKUP($I$2,IF(DATAKBS[NO]='LAMPIRAN-2020'!A107,DATAKBS[[TANGGAL]:[TARRA]],0),6,FALSE),"")</f>
        <v/>
      </c>
      <c r="I107" s="264" t="str">
        <f t="array" ref="I107">IFERROR(VLOOKUP($I$2,IF(DATAKBS[NO]='LAMPIRAN-2020'!A107,DATAKBS[[TANGGAL]:[TARRA]],0),7,FALSE),"")</f>
        <v/>
      </c>
      <c r="J107" s="264">
        <f t="shared" si="11"/>
        <v>0</v>
      </c>
      <c r="L107" s="216" t="str">
        <f t="shared" si="10"/>
        <v/>
      </c>
    </row>
    <row r="108" spans="1:12" s="34" customFormat="1" ht="20.100000000000001" hidden="1" customHeight="1">
      <c r="A108" s="34">
        <f t="shared" si="9"/>
        <v>16</v>
      </c>
      <c r="D108" s="262" t="str">
        <f t="array" ref="D108">IFERROR(VLOOKUP($I$2,IF(DATAKBS[NO]='LAMPIRAN-2020'!A108,DATAKBS[[TANGGAL]:[TARRA]],0),2,FALSE),"")</f>
        <v/>
      </c>
      <c r="E108" s="255" t="str">
        <f t="array" ref="E108">IFERROR(VLOOKUP($I$2,IF(DATAKBS[NO]='LAMPIRAN-2020'!A108,DATAKBS[[TANGGAL]:[TARRA]],0),3,FALSE),"")</f>
        <v/>
      </c>
      <c r="F108" s="263" t="str">
        <f t="array" ref="F108">IFERROR(VLOOKUP($I$2,IF(DATAKBS[NO]='LAMPIRAN-2020'!A108,DATAKBS[[TANGGAL]:[TARRA]],0),4,FALSE),"")</f>
        <v/>
      </c>
      <c r="G108" s="263" t="str">
        <f t="array" ref="G108">IFERROR(VLOOKUP($I$2,IF(DATAKBS[NO]='LAMPIRAN-2020'!A108,DATAKBS[[TANGGAL]:[TARRA]],0),5,FALSE),"")</f>
        <v/>
      </c>
      <c r="H108" s="264" t="str">
        <f t="array" ref="H108">IFERROR(VLOOKUP($I$2,IF(DATAKBS[NO]='LAMPIRAN-2020'!A108,DATAKBS[[TANGGAL]:[TARRA]],0),6,FALSE),"")</f>
        <v/>
      </c>
      <c r="I108" s="264" t="str">
        <f t="array" ref="I108">IFERROR(VLOOKUP($I$2,IF(DATAKBS[NO]='LAMPIRAN-2020'!A108,DATAKBS[[TANGGAL]:[TARRA]],0),7,FALSE),"")</f>
        <v/>
      </c>
      <c r="J108" s="264">
        <f t="shared" si="11"/>
        <v>0</v>
      </c>
      <c r="L108" s="216" t="str">
        <f t="shared" si="10"/>
        <v/>
      </c>
    </row>
    <row r="109" spans="1:12" s="34" customFormat="1" ht="20.100000000000001" hidden="1" customHeight="1">
      <c r="A109" s="34">
        <f t="shared" si="9"/>
        <v>17</v>
      </c>
      <c r="D109" s="262" t="str">
        <f t="array" ref="D109">IFERROR(VLOOKUP($I$2,IF(DATAKBS[NO]='LAMPIRAN-2020'!A109,DATAKBS[[TANGGAL]:[TARRA]],0),2,FALSE),"")</f>
        <v/>
      </c>
      <c r="E109" s="255" t="str">
        <f t="array" ref="E109">IFERROR(VLOOKUP($I$2,IF(DATAKBS[NO]='LAMPIRAN-2020'!A109,DATAKBS[[TANGGAL]:[TARRA]],0),3,FALSE),"")</f>
        <v/>
      </c>
      <c r="F109" s="263" t="str">
        <f t="array" ref="F109">IFERROR(VLOOKUP($I$2,IF(DATAKBS[NO]='LAMPIRAN-2020'!A109,DATAKBS[[TANGGAL]:[TARRA]],0),4,FALSE),"")</f>
        <v/>
      </c>
      <c r="G109" s="263" t="str">
        <f t="array" ref="G109">IFERROR(VLOOKUP($I$2,IF(DATAKBS[NO]='LAMPIRAN-2020'!A109,DATAKBS[[TANGGAL]:[TARRA]],0),5,FALSE),"")</f>
        <v/>
      </c>
      <c r="H109" s="264" t="str">
        <f t="array" ref="H109">IFERROR(VLOOKUP($I$2,IF(DATAKBS[NO]='LAMPIRAN-2020'!A109,DATAKBS[[TANGGAL]:[TARRA]],0),6,FALSE),"")</f>
        <v/>
      </c>
      <c r="I109" s="264" t="str">
        <f t="array" ref="I109">IFERROR(VLOOKUP($I$2,IF(DATAKBS[NO]='LAMPIRAN-2020'!A109,DATAKBS[[TANGGAL]:[TARRA]],0),7,FALSE),"")</f>
        <v/>
      </c>
      <c r="J109" s="264">
        <f t="shared" si="11"/>
        <v>0</v>
      </c>
      <c r="L109" s="216" t="str">
        <f t="shared" si="10"/>
        <v/>
      </c>
    </row>
    <row r="110" spans="1:12" s="34" customFormat="1" ht="20.100000000000001" hidden="1" customHeight="1">
      <c r="A110" s="34">
        <f t="shared" si="9"/>
        <v>18</v>
      </c>
      <c r="D110" s="262" t="str">
        <f t="array" ref="D110">IFERROR(VLOOKUP($I$2,IF(DATAKBS[NO]='LAMPIRAN-2020'!A110,DATAKBS[[TANGGAL]:[TARRA]],0),2,FALSE),"")</f>
        <v/>
      </c>
      <c r="E110" s="255" t="str">
        <f t="array" ref="E110">IFERROR(VLOOKUP($I$2,IF(DATAKBS[NO]='LAMPIRAN-2020'!A110,DATAKBS[[TANGGAL]:[TARRA]],0),3,FALSE),"")</f>
        <v/>
      </c>
      <c r="F110" s="263" t="str">
        <f t="array" ref="F110">IFERROR(VLOOKUP($I$2,IF(DATAKBS[NO]='LAMPIRAN-2020'!A110,DATAKBS[[TANGGAL]:[TARRA]],0),4,FALSE),"")</f>
        <v/>
      </c>
      <c r="G110" s="263" t="str">
        <f t="array" ref="G110">IFERROR(VLOOKUP($I$2,IF(DATAKBS[NO]='LAMPIRAN-2020'!A110,DATAKBS[[TANGGAL]:[TARRA]],0),5,FALSE),"")</f>
        <v/>
      </c>
      <c r="H110" s="264" t="str">
        <f t="array" ref="H110">IFERROR(VLOOKUP($I$2,IF(DATAKBS[NO]='LAMPIRAN-2020'!A110,DATAKBS[[TANGGAL]:[TARRA]],0),6,FALSE),"")</f>
        <v/>
      </c>
      <c r="I110" s="264" t="str">
        <f t="array" ref="I110">IFERROR(VLOOKUP($I$2,IF(DATAKBS[NO]='LAMPIRAN-2020'!A110,DATAKBS[[TANGGAL]:[TARRA]],0),7,FALSE),"")</f>
        <v/>
      </c>
      <c r="J110" s="264">
        <f t="shared" si="11"/>
        <v>0</v>
      </c>
      <c r="L110" s="216" t="str">
        <f t="shared" si="10"/>
        <v/>
      </c>
    </row>
    <row r="111" spans="1:12" s="34" customFormat="1" ht="20.100000000000001" hidden="1" customHeight="1">
      <c r="A111" s="34">
        <f t="shared" si="9"/>
        <v>19</v>
      </c>
      <c r="D111" s="262" t="str">
        <f t="array" ref="D111">IFERROR(VLOOKUP($I$2,IF(DATAKBS[NO]='LAMPIRAN-2020'!A111,DATAKBS[[TANGGAL]:[TARRA]],0),2,FALSE),"")</f>
        <v/>
      </c>
      <c r="E111" s="255" t="str">
        <f t="array" ref="E111">IFERROR(VLOOKUP($I$2,IF(DATAKBS[NO]='LAMPIRAN-2020'!A111,DATAKBS[[TANGGAL]:[TARRA]],0),3,FALSE),"")</f>
        <v/>
      </c>
      <c r="F111" s="263" t="str">
        <f t="array" ref="F111">IFERROR(VLOOKUP($I$2,IF(DATAKBS[NO]='LAMPIRAN-2020'!A111,DATAKBS[[TANGGAL]:[TARRA]],0),4,FALSE),"")</f>
        <v/>
      </c>
      <c r="G111" s="263" t="str">
        <f t="array" ref="G111">IFERROR(VLOOKUP($I$2,IF(DATAKBS[NO]='LAMPIRAN-2020'!A111,DATAKBS[[TANGGAL]:[TARRA]],0),5,FALSE),"")</f>
        <v/>
      </c>
      <c r="H111" s="264" t="str">
        <f t="array" ref="H111">IFERROR(VLOOKUP($I$2,IF(DATAKBS[NO]='LAMPIRAN-2020'!A111,DATAKBS[[TANGGAL]:[TARRA]],0),6,FALSE),"")</f>
        <v/>
      </c>
      <c r="I111" s="264" t="str">
        <f t="array" ref="I111">IFERROR(VLOOKUP($I$2,IF(DATAKBS[NO]='LAMPIRAN-2020'!A111,DATAKBS[[TANGGAL]:[TARRA]],0),7,FALSE),"")</f>
        <v/>
      </c>
      <c r="J111" s="264">
        <f t="shared" si="11"/>
        <v>0</v>
      </c>
      <c r="L111" s="216" t="str">
        <f t="shared" si="10"/>
        <v/>
      </c>
    </row>
    <row r="112" spans="1:12" s="34" customFormat="1" ht="20.100000000000001" hidden="1" customHeight="1">
      <c r="A112" s="34">
        <f t="shared" si="9"/>
        <v>20</v>
      </c>
      <c r="D112" s="262" t="str">
        <f t="array" ref="D112">IFERROR(VLOOKUP($I$2,IF(DATAKBS[NO]='LAMPIRAN-2020'!A112,DATAKBS[[TANGGAL]:[TARRA]],0),2,FALSE),"")</f>
        <v/>
      </c>
      <c r="E112" s="255" t="str">
        <f t="array" ref="E112">IFERROR(VLOOKUP($I$2,IF(DATAKBS[NO]='LAMPIRAN-2020'!A112,DATAKBS[[TANGGAL]:[TARRA]],0),3,FALSE),"")</f>
        <v/>
      </c>
      <c r="F112" s="263" t="str">
        <f t="array" ref="F112">IFERROR(VLOOKUP($I$2,IF(DATAKBS[NO]='LAMPIRAN-2020'!A112,DATAKBS[[TANGGAL]:[TARRA]],0),4,FALSE),"")</f>
        <v/>
      </c>
      <c r="G112" s="263" t="str">
        <f t="array" ref="G112">IFERROR(VLOOKUP($I$2,IF(DATAKBS[NO]='LAMPIRAN-2020'!A112,DATAKBS[[TANGGAL]:[TARRA]],0),5,FALSE),"")</f>
        <v/>
      </c>
      <c r="H112" s="264" t="str">
        <f t="array" ref="H112">IFERROR(VLOOKUP($I$2,IF(DATAKBS[NO]='LAMPIRAN-2020'!A112,DATAKBS[[TANGGAL]:[TARRA]],0),6,FALSE),"")</f>
        <v/>
      </c>
      <c r="I112" s="264" t="str">
        <f t="array" ref="I112">IFERROR(VLOOKUP($I$2,IF(DATAKBS[NO]='LAMPIRAN-2020'!A112,DATAKBS[[TANGGAL]:[TARRA]],0),7,FALSE),"")</f>
        <v/>
      </c>
      <c r="J112" s="264">
        <f t="shared" si="11"/>
        <v>0</v>
      </c>
      <c r="L112" s="216" t="str">
        <f t="shared" si="10"/>
        <v/>
      </c>
    </row>
    <row r="113" spans="1:12" s="34" customFormat="1" ht="20.100000000000001" hidden="1" customHeight="1">
      <c r="A113" s="34">
        <f t="shared" si="9"/>
        <v>21</v>
      </c>
      <c r="D113" s="262" t="str">
        <f t="array" ref="D113">IFERROR(VLOOKUP($I$2,IF(DATAKBS[NO]='LAMPIRAN-2020'!A113,DATAKBS[[TANGGAL]:[TARRA]],0),2,FALSE),"")</f>
        <v/>
      </c>
      <c r="E113" s="255" t="str">
        <f t="array" ref="E113">IFERROR(VLOOKUP($I$2,IF(DATAKBS[NO]='LAMPIRAN-2020'!A113,DATAKBS[[TANGGAL]:[TARRA]],0),3,FALSE),"")</f>
        <v/>
      </c>
      <c r="F113" s="263" t="str">
        <f t="array" ref="F113">IFERROR(VLOOKUP($I$2,IF(DATAKBS[NO]='LAMPIRAN-2020'!A113,DATAKBS[[TANGGAL]:[TARRA]],0),4,FALSE),"")</f>
        <v/>
      </c>
      <c r="G113" s="263" t="str">
        <f t="array" ref="G113">IFERROR(VLOOKUP($I$2,IF(DATAKBS[NO]='LAMPIRAN-2020'!A113,DATAKBS[[TANGGAL]:[TARRA]],0),5,FALSE),"")</f>
        <v/>
      </c>
      <c r="H113" s="264" t="str">
        <f t="array" ref="H113">IFERROR(VLOOKUP($I$2,IF(DATAKBS[NO]='LAMPIRAN-2020'!A113,DATAKBS[[TANGGAL]:[TARRA]],0),6,FALSE),"")</f>
        <v/>
      </c>
      <c r="I113" s="264" t="str">
        <f t="array" ref="I113">IFERROR(VLOOKUP($I$2,IF(DATAKBS[NO]='LAMPIRAN-2020'!A113,DATAKBS[[TANGGAL]:[TARRA]],0),7,FALSE),"")</f>
        <v/>
      </c>
      <c r="J113" s="264">
        <f t="shared" si="11"/>
        <v>0</v>
      </c>
      <c r="L113" s="216" t="str">
        <f t="shared" si="10"/>
        <v/>
      </c>
    </row>
    <row r="114" spans="1:12" s="34" customFormat="1" ht="20.100000000000001" hidden="1" customHeight="1">
      <c r="A114" s="34">
        <f t="shared" si="9"/>
        <v>22</v>
      </c>
      <c r="D114" s="262" t="str">
        <f t="array" ref="D114">IFERROR(VLOOKUP($I$2,IF(DATAKBS[NO]='LAMPIRAN-2020'!A114,DATAKBS[[TANGGAL]:[TARRA]],0),2,FALSE),"")</f>
        <v/>
      </c>
      <c r="E114" s="255" t="str">
        <f t="array" ref="E114">IFERROR(VLOOKUP($I$2,IF(DATAKBS[NO]='LAMPIRAN-2020'!A114,DATAKBS[[TANGGAL]:[TARRA]],0),3,FALSE),"")</f>
        <v/>
      </c>
      <c r="F114" s="263" t="str">
        <f t="array" ref="F114">IFERROR(VLOOKUP($I$2,IF(DATAKBS[NO]='LAMPIRAN-2020'!A114,DATAKBS[[TANGGAL]:[TARRA]],0),4,FALSE),"")</f>
        <v/>
      </c>
      <c r="G114" s="263" t="str">
        <f t="array" ref="G114">IFERROR(VLOOKUP($I$2,IF(DATAKBS[NO]='LAMPIRAN-2020'!A114,DATAKBS[[TANGGAL]:[TARRA]],0),5,FALSE),"")</f>
        <v/>
      </c>
      <c r="H114" s="264" t="str">
        <f t="array" ref="H114">IFERROR(VLOOKUP($I$2,IF(DATAKBS[NO]='LAMPIRAN-2020'!A114,DATAKBS[[TANGGAL]:[TARRA]],0),6,FALSE),"")</f>
        <v/>
      </c>
      <c r="I114" s="264" t="str">
        <f t="array" ref="I114">IFERROR(VLOOKUP($I$2,IF(DATAKBS[NO]='LAMPIRAN-2020'!A114,DATAKBS[[TANGGAL]:[TARRA]],0),7,FALSE),"")</f>
        <v/>
      </c>
      <c r="J114" s="264">
        <f t="shared" si="11"/>
        <v>0</v>
      </c>
      <c r="L114" s="216" t="str">
        <f t="shared" si="10"/>
        <v/>
      </c>
    </row>
    <row r="115" spans="1:12" s="34" customFormat="1" ht="20.100000000000001" hidden="1" customHeight="1">
      <c r="A115" s="34">
        <f t="shared" si="9"/>
        <v>23</v>
      </c>
      <c r="D115" s="262" t="str">
        <f t="array" ref="D115">IFERROR(VLOOKUP($I$2,IF(DATAKBS[NO]='LAMPIRAN-2020'!A115,DATAKBS[[TANGGAL]:[TARRA]],0),2,FALSE),"")</f>
        <v/>
      </c>
      <c r="E115" s="255" t="str">
        <f t="array" ref="E115">IFERROR(VLOOKUP($I$2,IF(DATAKBS[NO]='LAMPIRAN-2020'!A115,DATAKBS[[TANGGAL]:[TARRA]],0),3,FALSE),"")</f>
        <v/>
      </c>
      <c r="F115" s="263" t="str">
        <f t="array" ref="F115">IFERROR(VLOOKUP($I$2,IF(DATAKBS[NO]='LAMPIRAN-2020'!A115,DATAKBS[[TANGGAL]:[TARRA]],0),4,FALSE),"")</f>
        <v/>
      </c>
      <c r="G115" s="263" t="str">
        <f t="array" ref="G115">IFERROR(VLOOKUP($I$2,IF(DATAKBS[NO]='LAMPIRAN-2020'!A115,DATAKBS[[TANGGAL]:[TARRA]],0),5,FALSE),"")</f>
        <v/>
      </c>
      <c r="H115" s="264" t="str">
        <f t="array" ref="H115">IFERROR(VLOOKUP($I$2,IF(DATAKBS[NO]='LAMPIRAN-2020'!A115,DATAKBS[[TANGGAL]:[TARRA]],0),6,FALSE),"")</f>
        <v/>
      </c>
      <c r="I115" s="264" t="str">
        <f t="array" ref="I115">IFERROR(VLOOKUP($I$2,IF(DATAKBS[NO]='LAMPIRAN-2020'!A115,DATAKBS[[TANGGAL]:[TARRA]],0),7,FALSE),"")</f>
        <v/>
      </c>
      <c r="J115" s="264">
        <f t="shared" si="11"/>
        <v>0</v>
      </c>
      <c r="L115" s="216" t="str">
        <f t="shared" si="10"/>
        <v/>
      </c>
    </row>
    <row r="116" spans="1:12" s="34" customFormat="1" ht="20.100000000000001" hidden="1" customHeight="1">
      <c r="A116" s="34">
        <f t="shared" si="9"/>
        <v>24</v>
      </c>
      <c r="D116" s="262" t="str">
        <f t="array" ref="D116">IFERROR(VLOOKUP($I$2,IF(DATAKBS[NO]='LAMPIRAN-2020'!A116,DATAKBS[[TANGGAL]:[TARRA]],0),2,FALSE),"")</f>
        <v/>
      </c>
      <c r="E116" s="255" t="str">
        <f t="array" ref="E116">IFERROR(VLOOKUP($I$2,IF(DATAKBS[NO]='LAMPIRAN-2020'!A116,DATAKBS[[TANGGAL]:[TARRA]],0),3,FALSE),"")</f>
        <v/>
      </c>
      <c r="F116" s="263" t="str">
        <f t="array" ref="F116">IFERROR(VLOOKUP($I$2,IF(DATAKBS[NO]='LAMPIRAN-2020'!A116,DATAKBS[[TANGGAL]:[TARRA]],0),4,FALSE),"")</f>
        <v/>
      </c>
      <c r="G116" s="263" t="str">
        <f t="array" ref="G116">IFERROR(VLOOKUP($I$2,IF(DATAKBS[NO]='LAMPIRAN-2020'!A116,DATAKBS[[TANGGAL]:[TARRA]],0),5,FALSE),"")</f>
        <v/>
      </c>
      <c r="H116" s="264" t="str">
        <f t="array" ref="H116">IFERROR(VLOOKUP($I$2,IF(DATAKBS[NO]='LAMPIRAN-2020'!A116,DATAKBS[[TANGGAL]:[TARRA]],0),6,FALSE),"")</f>
        <v/>
      </c>
      <c r="I116" s="264" t="str">
        <f t="array" ref="I116">IFERROR(VLOOKUP($I$2,IF(DATAKBS[NO]='LAMPIRAN-2020'!A116,DATAKBS[[TANGGAL]:[TARRA]],0),7,FALSE),"")</f>
        <v/>
      </c>
      <c r="J116" s="264">
        <f t="shared" si="11"/>
        <v>0</v>
      </c>
      <c r="L116" s="216" t="str">
        <f t="shared" si="10"/>
        <v/>
      </c>
    </row>
    <row r="117" spans="1:12" s="34" customFormat="1" ht="20.100000000000001" hidden="1" customHeight="1">
      <c r="A117" s="34">
        <f t="shared" si="9"/>
        <v>25</v>
      </c>
      <c r="D117" s="262" t="str">
        <f t="array" ref="D117">IFERROR(VLOOKUP($I$2,IF(DATAKBS[NO]='LAMPIRAN-2020'!A117,DATAKBS[[TANGGAL]:[TARRA]],0),2,FALSE),"")</f>
        <v/>
      </c>
      <c r="E117" s="255" t="str">
        <f t="array" ref="E117">IFERROR(VLOOKUP($I$2,IF(DATAKBS[NO]='LAMPIRAN-2020'!A117,DATAKBS[[TANGGAL]:[TARRA]],0),3,FALSE),"")</f>
        <v/>
      </c>
      <c r="F117" s="263" t="str">
        <f t="array" ref="F117">IFERROR(VLOOKUP($I$2,IF(DATAKBS[NO]='LAMPIRAN-2020'!A117,DATAKBS[[TANGGAL]:[TARRA]],0),4,FALSE),"")</f>
        <v/>
      </c>
      <c r="G117" s="263" t="str">
        <f t="array" ref="G117">IFERROR(VLOOKUP($I$2,IF(DATAKBS[NO]='LAMPIRAN-2020'!A117,DATAKBS[[TANGGAL]:[TARRA]],0),5,FALSE),"")</f>
        <v/>
      </c>
      <c r="H117" s="264" t="str">
        <f t="array" ref="H117">IFERROR(VLOOKUP($I$2,IF(DATAKBS[NO]='LAMPIRAN-2020'!A117,DATAKBS[[TANGGAL]:[TARRA]],0),6,FALSE),"")</f>
        <v/>
      </c>
      <c r="I117" s="264" t="str">
        <f t="array" ref="I117">IFERROR(VLOOKUP($I$2,IF(DATAKBS[NO]='LAMPIRAN-2020'!A117,DATAKBS[[TANGGAL]:[TARRA]],0),7,FALSE),"")</f>
        <v/>
      </c>
      <c r="J117" s="264">
        <f t="shared" si="11"/>
        <v>0</v>
      </c>
      <c r="L117" s="216" t="str">
        <f t="shared" si="10"/>
        <v/>
      </c>
    </row>
    <row r="118" spans="1:12" s="34" customFormat="1" ht="5.0999999999999996" customHeight="1" thickBot="1">
      <c r="D118" s="101"/>
      <c r="E118" s="102"/>
      <c r="F118" s="103"/>
      <c r="G118" s="104"/>
      <c r="H118" s="105"/>
      <c r="I118" s="105"/>
      <c r="J118" s="105"/>
      <c r="L118" s="216" t="s">
        <v>199</v>
      </c>
    </row>
    <row r="119" spans="1:12" s="34" customFormat="1" ht="21.95" customHeight="1" thickTop="1">
      <c r="D119" s="161"/>
      <c r="E119" s="22"/>
      <c r="F119" s="304" t="s">
        <v>66</v>
      </c>
      <c r="G119" s="304">
        <f>SUM(G93:G118)</f>
        <v>0</v>
      </c>
      <c r="H119" s="305">
        <f>SUM(H93:H118)</f>
        <v>0</v>
      </c>
      <c r="I119" s="305">
        <f>SUM(I93:I118)</f>
        <v>0</v>
      </c>
      <c r="J119" s="305">
        <f>SUM(J93:J118)</f>
        <v>0</v>
      </c>
      <c r="L119" s="216" t="s">
        <v>199</v>
      </c>
    </row>
    <row r="120" spans="1:12" s="34" customFormat="1" ht="21.95" customHeight="1">
      <c r="D120" s="35"/>
      <c r="E120" s="22"/>
      <c r="F120" s="307" t="s">
        <v>67</v>
      </c>
      <c r="G120" s="307">
        <f>SUMIFS(DATAKBS[TN],DATAKBS[TANGGAL],"&lt;="&amp;DATE(YEAR($I$2),MONTH($I$2),DAY($I$2)),DATAKBS[TANGGAL],"&gt;="&amp;DATE(YEAR($I$2),MONTH($I$2),1))</f>
        <v>0</v>
      </c>
      <c r="H120" s="236">
        <f>SUMIFS(DATAKBS[BRUTO],DATAKBS[TANGGAL],"&lt;="&amp;DATE(YEAR($I$2),MONTH($I$2),DAY($I$2)),DATAKBS[TANGGAL],"&gt;="&amp;DATE(YEAR($I$2),MONTH($I$2),1))</f>
        <v>0</v>
      </c>
      <c r="I120" s="236">
        <f>SUMIFS(DATAKBS[TARRA],DATAKBS[TANGGAL],"&lt;="&amp;DATE(YEAR($I$2),MONTH($I$2),DAY($I$2)),DATAKBS[TANGGAL],"&gt;="&amp;DATE(YEAR($I$2),MONTH($I$2),1))</f>
        <v>0</v>
      </c>
      <c r="J120" s="236">
        <f>SUMIFS(DATAKBS[NETTO],DATAKBS[TANGGAL],"&lt;="&amp;DATE(YEAR($I$2),MONTH($I$2),DAY($I$2)),DATAKBS[TANGGAL],"&gt;="&amp;DATE(YEAR($I$2),MONTH($I$2),1))</f>
        <v>0</v>
      </c>
      <c r="L120" s="216" t="s">
        <v>199</v>
      </c>
    </row>
    <row r="121" spans="1:12" s="34" customFormat="1" ht="21.95" hidden="1" customHeight="1">
      <c r="D121" s="35"/>
      <c r="E121" s="22"/>
      <c r="F121" s="302"/>
      <c r="G121" s="302"/>
      <c r="H121" s="303"/>
      <c r="I121" s="303"/>
      <c r="J121" s="303"/>
      <c r="L121" s="216"/>
    </row>
    <row r="122" spans="1:12" s="34" customFormat="1" ht="35.1" hidden="1" customHeight="1">
      <c r="D122" s="35"/>
      <c r="E122" s="22"/>
      <c r="F122" s="617" t="s">
        <v>246</v>
      </c>
      <c r="G122" s="618"/>
      <c r="H122" s="301">
        <f t="shared" ref="H122:J123" si="12">SUM(H119,H84,H57)</f>
        <v>0</v>
      </c>
      <c r="I122" s="301">
        <f t="shared" si="12"/>
        <v>0</v>
      </c>
      <c r="J122" s="301">
        <f t="shared" si="12"/>
        <v>0</v>
      </c>
      <c r="L122" s="216"/>
    </row>
    <row r="123" spans="1:12" s="34" customFormat="1" ht="35.1" hidden="1" customHeight="1">
      <c r="D123" s="35"/>
      <c r="E123" s="22"/>
      <c r="F123" s="617" t="s">
        <v>229</v>
      </c>
      <c r="G123" s="618"/>
      <c r="H123" s="301">
        <f t="shared" si="12"/>
        <v>3380370</v>
      </c>
      <c r="I123" s="301">
        <f t="shared" si="12"/>
        <v>1500120</v>
      </c>
      <c r="J123" s="301">
        <f t="shared" ca="1" si="12"/>
        <v>1880250</v>
      </c>
      <c r="L123" s="216"/>
    </row>
    <row r="124" spans="1:12" s="34" customFormat="1" ht="15" customHeight="1">
      <c r="D124" s="35"/>
      <c r="E124" s="22"/>
      <c r="F124" s="37"/>
      <c r="G124" s="37"/>
      <c r="H124" s="37"/>
      <c r="I124" s="37"/>
      <c r="J124" s="37"/>
      <c r="L124" s="216" t="s">
        <v>199</v>
      </c>
    </row>
    <row r="125" spans="1:12" s="34" customFormat="1" ht="18" customHeight="1">
      <c r="D125" s="35"/>
      <c r="E125" s="22"/>
      <c r="F125" s="39"/>
      <c r="G125" s="40" t="s">
        <v>66</v>
      </c>
      <c r="H125" s="25" t="s">
        <v>55</v>
      </c>
      <c r="I125" s="25" t="s">
        <v>56</v>
      </c>
      <c r="J125" s="25" t="s">
        <v>57</v>
      </c>
      <c r="L125" s="216" t="s">
        <v>199</v>
      </c>
    </row>
    <row r="126" spans="1:12" s="34" customFormat="1" ht="18" customHeight="1">
      <c r="D126" s="35"/>
      <c r="E126" s="22"/>
      <c r="F126" s="41"/>
      <c r="G126" s="42" t="s">
        <v>69</v>
      </c>
      <c r="H126" s="43" t="s">
        <v>62</v>
      </c>
      <c r="I126" s="43" t="s">
        <v>63</v>
      </c>
      <c r="J126" s="43" t="s">
        <v>64</v>
      </c>
      <c r="L126" s="216" t="s">
        <v>199</v>
      </c>
    </row>
    <row r="127" spans="1:12" s="34" customFormat="1" ht="21.75" customHeight="1">
      <c r="D127" s="35"/>
      <c r="E127" s="295" t="s">
        <v>70</v>
      </c>
      <c r="F127" s="296"/>
      <c r="G127" s="242">
        <f>SUMIFS(G6:G55,$B$6:$B$55,"DARAT")</f>
        <v>0</v>
      </c>
      <c r="H127" s="167">
        <f>SUMIFS(H6:H55,$B$6:$B$55,"DARAT")</f>
        <v>0</v>
      </c>
      <c r="I127" s="167">
        <f>SUMIFS(I6:I55,$B$6:$B$55,"DARAT")</f>
        <v>0</v>
      </c>
      <c r="J127" s="167">
        <f>SUMIFS(J6:J55,$B$6:$B$55,"DARAT")</f>
        <v>0</v>
      </c>
      <c r="L127" s="216" t="s">
        <v>199</v>
      </c>
    </row>
    <row r="128" spans="1:12" s="34" customFormat="1" ht="21.75" customHeight="1">
      <c r="D128" s="35"/>
      <c r="E128" s="297" t="s">
        <v>71</v>
      </c>
      <c r="F128" s="298"/>
      <c r="G128" s="243">
        <f>SUMIFS(G6:G55,$B$6:$B$55,"SUNGAI")</f>
        <v>0</v>
      </c>
      <c r="H128" s="168">
        <f>SUMIFS(H6:H55,$B$6:$B$55,"SUNGAI")</f>
        <v>0</v>
      </c>
      <c r="I128" s="168">
        <f>SUMIFS(I6:I55,$B$6:$B$55,"SUNGAI")</f>
        <v>0</v>
      </c>
      <c r="J128" s="168">
        <f>SUMIFS(J6:J55,$B$6:$B$55,"SUNGAI")</f>
        <v>0</v>
      </c>
      <c r="L128" s="216" t="s">
        <v>199</v>
      </c>
    </row>
    <row r="129" spans="4:12" s="34" customFormat="1" ht="21.75" customHeight="1">
      <c r="D129" s="35"/>
      <c r="E129" s="297" t="s">
        <v>240</v>
      </c>
      <c r="F129" s="298"/>
      <c r="G129" s="243">
        <f>SUMIFS($G$63:$G$82,$B$63:$B$82,"DARAT")</f>
        <v>0</v>
      </c>
      <c r="H129" s="168">
        <f>SUMIFS($H$63:$H$82,$B$63:$B$82,"DARAT")</f>
        <v>0</v>
      </c>
      <c r="I129" s="168">
        <f>SUMIFS($I$63:$I$82,$B$63:$B$82,"DARAT")</f>
        <v>0</v>
      </c>
      <c r="J129" s="168">
        <f>SUMIFS($J$63:$J$82,$B$63:$B$82,"DARAT")</f>
        <v>0</v>
      </c>
      <c r="L129" s="216" t="s">
        <v>199</v>
      </c>
    </row>
    <row r="130" spans="4:12" s="34" customFormat="1" ht="21.75" customHeight="1">
      <c r="D130" s="35"/>
      <c r="E130" s="297" t="s">
        <v>241</v>
      </c>
      <c r="F130" s="298"/>
      <c r="G130" s="243">
        <f>SUMIFS($G$63:$G$82,$B$63:$B$82,"SUNGAI")</f>
        <v>0</v>
      </c>
      <c r="H130" s="168">
        <f>SUMIFS($H$63:$H$82,$B$63:$B$82,"SUNGAI")</f>
        <v>0</v>
      </c>
      <c r="I130" s="168">
        <f>SUMIFS($I$63:$I$82,$B$63:$B$82,"SUNGAI")</f>
        <v>0</v>
      </c>
      <c r="J130" s="168">
        <f>SUMIFS($J$63:$J$82,$B$63:$B$82,"SUNGAI")</f>
        <v>0</v>
      </c>
      <c r="L130" s="216" t="s">
        <v>199</v>
      </c>
    </row>
    <row r="131" spans="4:12" s="34" customFormat="1" ht="21.75" customHeight="1" thickBot="1">
      <c r="D131" s="35"/>
      <c r="E131" s="297" t="s">
        <v>242</v>
      </c>
      <c r="F131" s="298"/>
      <c r="G131" s="299">
        <f>G119</f>
        <v>0</v>
      </c>
      <c r="H131" s="168">
        <f>H119</f>
        <v>0</v>
      </c>
      <c r="I131" s="168">
        <f>I119</f>
        <v>0</v>
      </c>
      <c r="J131" s="168">
        <f>J119</f>
        <v>0</v>
      </c>
      <c r="L131" s="216" t="s">
        <v>199</v>
      </c>
    </row>
    <row r="132" spans="4:12" s="34" customFormat="1" ht="26.25" customHeight="1" thickTop="1">
      <c r="D132" s="35"/>
      <c r="E132" s="611" t="s">
        <v>243</v>
      </c>
      <c r="F132" s="612"/>
      <c r="G132" s="241">
        <f>SUM(G127:G131)</f>
        <v>0</v>
      </c>
      <c r="H132" s="169">
        <f>SUM(H127:H131)</f>
        <v>0</v>
      </c>
      <c r="I132" s="169">
        <f>SUM(I127:I131)</f>
        <v>0</v>
      </c>
      <c r="J132" s="169">
        <f>SUM(J127:J131)</f>
        <v>0</v>
      </c>
      <c r="L132" s="216" t="s">
        <v>199</v>
      </c>
    </row>
    <row r="133" spans="4:12" s="34" customFormat="1" ht="36" customHeight="1">
      <c r="D133" s="35"/>
      <c r="E133" s="613" t="s">
        <v>244</v>
      </c>
      <c r="F133" s="614"/>
      <c r="G133" s="308">
        <f>SUM(G58,G85,G120)</f>
        <v>394</v>
      </c>
      <c r="H133" s="170">
        <f>SUM(H58,H85,H120)</f>
        <v>3380370</v>
      </c>
      <c r="I133" s="170">
        <f>SUM(I58,I85,I120)</f>
        <v>1500120</v>
      </c>
      <c r="J133" s="170">
        <f ca="1">SUM(J58,J85,J120)</f>
        <v>1880250</v>
      </c>
      <c r="L133" s="216" t="s">
        <v>199</v>
      </c>
    </row>
    <row r="134" spans="4:12" s="34" customFormat="1" ht="18.75" customHeight="1">
      <c r="D134" s="35"/>
      <c r="E134" s="22"/>
      <c r="F134" s="44"/>
      <c r="G134" s="44"/>
      <c r="H134" s="45"/>
      <c r="I134" s="45"/>
      <c r="J134" s="45"/>
    </row>
    <row r="135" spans="4:12" s="34" customFormat="1" ht="18.75" customHeight="1">
      <c r="D135" s="35"/>
      <c r="E135" s="22"/>
      <c r="H135" s="630" t="s">
        <v>45</v>
      </c>
      <c r="I135" s="631"/>
      <c r="J135" s="632"/>
    </row>
    <row r="136" spans="4:12" s="34" customFormat="1" ht="18.75" customHeight="1">
      <c r="D136" s="35"/>
      <c r="E136" s="22"/>
      <c r="H136" s="372"/>
      <c r="I136" s="373"/>
      <c r="J136" s="374"/>
    </row>
    <row r="137" spans="4:12" s="34" customFormat="1" ht="18.75" customHeight="1">
      <c r="D137" s="35"/>
      <c r="E137" s="22"/>
      <c r="H137" s="372"/>
      <c r="I137" s="373"/>
      <c r="J137" s="374"/>
    </row>
    <row r="138" spans="4:12" s="34" customFormat="1" ht="18.75" customHeight="1">
      <c r="D138" s="35"/>
      <c r="E138" s="22"/>
      <c r="H138" s="372"/>
      <c r="I138" s="373"/>
      <c r="J138" s="374"/>
    </row>
    <row r="139" spans="4:12" s="34" customFormat="1" ht="18.75" customHeight="1">
      <c r="D139" s="35"/>
      <c r="E139" s="22"/>
      <c r="H139" s="375" t="s">
        <v>47</v>
      </c>
      <c r="I139" s="382" t="str">
        <f>": "&amp;'LAPORAN HARIAN'!I55</f>
        <v>: Indah Eka Putri</v>
      </c>
      <c r="J139" s="376"/>
    </row>
    <row r="140" spans="4:12" s="34" customFormat="1" ht="18.75" customHeight="1">
      <c r="D140" s="35"/>
      <c r="E140" s="22"/>
      <c r="H140" s="372" t="s">
        <v>48</v>
      </c>
      <c r="I140" s="377" t="str">
        <f>": "&amp;'LAPORAN HARIAN'!I56</f>
        <v>: Adm RMP</v>
      </c>
      <c r="J140" s="378"/>
    </row>
    <row r="141" spans="4:12" ht="15" customHeight="1">
      <c r="H141" s="379" t="s">
        <v>49</v>
      </c>
      <c r="I141" s="380" t="str">
        <f>": "&amp;TEXT('LAPORAN HARIAN'!I57,"[$-21]dd mmmm yyyy;@")</f>
        <v>: 01 April 2020</v>
      </c>
      <c r="J141" s="381"/>
    </row>
    <row r="142" spans="4:12" ht="15" customHeight="1">
      <c r="G142" s="221"/>
      <c r="H142" s="221"/>
      <c r="I142" s="221"/>
      <c r="J142" s="221"/>
    </row>
    <row r="143" spans="4:12" ht="15" customHeight="1">
      <c r="G143" s="221"/>
      <c r="H143" s="221"/>
      <c r="I143" s="221"/>
      <c r="J143" s="221"/>
    </row>
    <row r="144" spans="4:12" ht="15" customHeight="1">
      <c r="G144" s="221"/>
      <c r="H144" s="221"/>
      <c r="I144" s="221"/>
      <c r="J144" s="221"/>
    </row>
    <row r="145" spans="7:7" ht="15" customHeight="1">
      <c r="G145" s="221"/>
    </row>
    <row r="146" spans="7:7" ht="15" customHeight="1">
      <c r="G146" s="221"/>
    </row>
    <row r="147" spans="7:7" ht="15" customHeight="1">
      <c r="G147" s="221"/>
    </row>
    <row r="148" spans="7:7" ht="15" customHeight="1">
      <c r="G148" s="221"/>
    </row>
    <row r="149" spans="7:7" ht="15" customHeight="1">
      <c r="G149" s="221"/>
    </row>
  </sheetData>
  <sheetProtection autoFilter="0" pivotTables="0"/>
  <autoFilter ref="L2:L133">
    <filterColumn colId="0">
      <customFilters>
        <customFilter operator="notEqual" val=" "/>
      </customFilters>
    </filterColumn>
  </autoFilter>
  <mergeCells count="10">
    <mergeCell ref="F123:G123"/>
    <mergeCell ref="E132:F132"/>
    <mergeCell ref="E133:F133"/>
    <mergeCell ref="H135:J135"/>
    <mergeCell ref="D3:G3"/>
    <mergeCell ref="D60:G60"/>
    <mergeCell ref="F87:G87"/>
    <mergeCell ref="F88:G88"/>
    <mergeCell ref="D90:G90"/>
    <mergeCell ref="F122:G122"/>
  </mergeCells>
  <printOptions horizontalCentered="1"/>
  <pageMargins left="0.118110236220472" right="3.9370078740157501E-2" top="0.10433070899999999" bottom="3.9370078740157501E-2" header="1.92913385826772" footer="0.118110236220472"/>
  <pageSetup paperSize="9" scale="50" orientation="portrait" verticalDpi="180" r:id="rId1"/>
  <headerFooter alignWithMargins="0"/>
  <colBreaks count="1" manualBreakCount="1">
    <brk id="3" max="1048575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X122"/>
  <sheetViews>
    <sheetView workbookViewId="0">
      <selection activeCell="L22" sqref="L22"/>
    </sheetView>
  </sheetViews>
  <sheetFormatPr defaultColWidth="0" defaultRowHeight="12.75" zeroHeight="1"/>
  <cols>
    <col min="1" max="1" width="11.85546875" customWidth="1"/>
    <col min="2" max="3" width="6.28515625" customWidth="1"/>
    <col min="4" max="4" width="11.28515625" bestFit="1" customWidth="1"/>
    <col min="5" max="5" width="11" customWidth="1"/>
    <col min="6" max="6" width="10.42578125" customWidth="1"/>
    <col min="7" max="8" width="9.140625" customWidth="1"/>
    <col min="9" max="9" width="12.28515625" customWidth="1"/>
    <col min="10" max="15" width="9.140625" customWidth="1"/>
    <col min="16" max="16" width="10.85546875" bestFit="1" customWidth="1"/>
    <col min="17" max="17" width="9.140625" customWidth="1"/>
    <col min="18" max="24" width="9.140625" style="447" customWidth="1"/>
    <col min="25" max="31" width="9.140625" style="447" hidden="1" customWidth="1"/>
    <col min="32" max="16384" width="9.140625" style="447" hidden="1"/>
  </cols>
  <sheetData>
    <row r="1" spans="1:17"/>
    <row r="2" spans="1:17" s="448" customFormat="1" ht="23.25">
      <c r="A2" s="390"/>
      <c r="B2" s="449"/>
      <c r="C2" s="450" t="s">
        <v>288</v>
      </c>
      <c r="D2" s="451">
        <v>2020</v>
      </c>
      <c r="F2" s="450" t="s">
        <v>289</v>
      </c>
      <c r="G2" s="452">
        <v>4</v>
      </c>
      <c r="J2" s="450" t="s">
        <v>290</v>
      </c>
      <c r="K2" s="452">
        <v>1</v>
      </c>
      <c r="L2" s="390"/>
      <c r="M2" s="390"/>
      <c r="N2" s="390"/>
      <c r="O2" s="390"/>
      <c r="P2" s="390"/>
      <c r="Q2" s="390"/>
    </row>
    <row r="3" spans="1:17" s="448" customFormat="1">
      <c r="A3" s="390"/>
      <c r="B3" s="390"/>
      <c r="C3" s="390"/>
      <c r="D3" s="390"/>
      <c r="E3" s="399"/>
      <c r="F3" s="390"/>
      <c r="G3" s="390"/>
      <c r="H3" s="399"/>
      <c r="I3" s="398"/>
      <c r="J3" s="400"/>
      <c r="K3" s="390"/>
      <c r="L3" s="390"/>
      <c r="M3" s="390"/>
      <c r="N3" s="390"/>
      <c r="O3" s="390"/>
      <c r="P3" s="390"/>
      <c r="Q3" s="390"/>
    </row>
    <row r="4" spans="1:17" ht="23.25">
      <c r="B4" s="410" t="s">
        <v>291</v>
      </c>
      <c r="C4" s="410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</row>
    <row r="5" spans="1:17" ht="20.25">
      <c r="B5" s="408" t="str">
        <f>"Periode Bulan : "&amp;TEXT(DATE($D$2,$G$2,$K$2),"[$-21]mmmm yyyy;@")</f>
        <v>Periode Bulan : April 2020</v>
      </c>
      <c r="C5" s="408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</row>
    <row r="6" spans="1:17" ht="5.0999999999999996" customHeight="1" thickBot="1"/>
    <row r="7" spans="1:17" ht="13.5" thickTop="1">
      <c r="B7" s="571" t="s">
        <v>121</v>
      </c>
      <c r="C7" s="572"/>
      <c r="D7" s="575" t="s">
        <v>109</v>
      </c>
      <c r="E7" s="576"/>
      <c r="F7" s="576"/>
      <c r="G7" s="576"/>
      <c r="H7" s="576"/>
      <c r="I7" s="576"/>
      <c r="J7" s="576"/>
      <c r="K7" s="577"/>
      <c r="L7" s="560" t="s">
        <v>116</v>
      </c>
      <c r="M7" s="571" t="s">
        <v>117</v>
      </c>
      <c r="N7" s="572"/>
      <c r="O7" s="560" t="s">
        <v>118</v>
      </c>
      <c r="P7" s="563" t="s">
        <v>233</v>
      </c>
    </row>
    <row r="8" spans="1:17">
      <c r="B8" s="638"/>
      <c r="C8" s="639"/>
      <c r="D8" s="569" t="s">
        <v>110</v>
      </c>
      <c r="E8" s="569"/>
      <c r="F8" s="569" t="s">
        <v>113</v>
      </c>
      <c r="G8" s="569"/>
      <c r="H8" s="569" t="s">
        <v>114</v>
      </c>
      <c r="I8" s="569"/>
      <c r="J8" s="569" t="s">
        <v>115</v>
      </c>
      <c r="K8" s="569"/>
      <c r="L8" s="561"/>
      <c r="M8" s="573"/>
      <c r="N8" s="574"/>
      <c r="O8" s="561"/>
      <c r="P8" s="564"/>
    </row>
    <row r="9" spans="1:17">
      <c r="B9" s="573"/>
      <c r="C9" s="574"/>
      <c r="D9" s="370" t="s">
        <v>111</v>
      </c>
      <c r="E9" s="370" t="s">
        <v>112</v>
      </c>
      <c r="F9" s="370" t="s">
        <v>111</v>
      </c>
      <c r="G9" s="370" t="s">
        <v>112</v>
      </c>
      <c r="H9" s="370" t="s">
        <v>111</v>
      </c>
      <c r="I9" s="370" t="s">
        <v>112</v>
      </c>
      <c r="J9" s="370" t="s">
        <v>111</v>
      </c>
      <c r="K9" s="370" t="s">
        <v>112</v>
      </c>
      <c r="L9" s="562"/>
      <c r="M9" s="370" t="s">
        <v>111</v>
      </c>
      <c r="N9" s="370" t="s">
        <v>112</v>
      </c>
      <c r="O9" s="562"/>
      <c r="P9" s="564"/>
    </row>
    <row r="10" spans="1:17">
      <c r="B10" s="413">
        <v>1</v>
      </c>
      <c r="C10" s="414"/>
      <c r="D10" s="401">
        <f>B10+1</f>
        <v>2</v>
      </c>
      <c r="E10" s="401">
        <f t="shared" ref="E10:P10" si="0">D10+1</f>
        <v>3</v>
      </c>
      <c r="F10" s="401">
        <f t="shared" si="0"/>
        <v>4</v>
      </c>
      <c r="G10" s="401">
        <f t="shared" si="0"/>
        <v>5</v>
      </c>
      <c r="H10" s="401">
        <f t="shared" si="0"/>
        <v>6</v>
      </c>
      <c r="I10" s="401">
        <f t="shared" si="0"/>
        <v>7</v>
      </c>
      <c r="J10" s="401">
        <f t="shared" si="0"/>
        <v>8</v>
      </c>
      <c r="K10" s="401">
        <f t="shared" si="0"/>
        <v>9</v>
      </c>
      <c r="L10" s="401">
        <f t="shared" si="0"/>
        <v>10</v>
      </c>
      <c r="M10" s="401">
        <f t="shared" si="0"/>
        <v>11</v>
      </c>
      <c r="N10" s="401">
        <f t="shared" si="0"/>
        <v>12</v>
      </c>
      <c r="O10" s="401">
        <f t="shared" si="0"/>
        <v>13</v>
      </c>
      <c r="P10" s="401">
        <f t="shared" si="0"/>
        <v>14</v>
      </c>
    </row>
    <row r="11" spans="1:17" s="346" customFormat="1" ht="5.0999999999999996" customHeight="1">
      <c r="A11" s="317"/>
      <c r="B11" s="417"/>
      <c r="C11" s="418"/>
      <c r="D11" s="411"/>
      <c r="E11" s="411"/>
      <c r="F11" s="411"/>
      <c r="G11" s="411"/>
      <c r="H11" s="411"/>
      <c r="I11" s="411"/>
      <c r="J11" s="411"/>
      <c r="K11" s="411"/>
      <c r="L11" s="411"/>
      <c r="M11" s="411"/>
      <c r="N11" s="411"/>
      <c r="O11" s="411"/>
      <c r="P11" s="411"/>
      <c r="Q11" s="317"/>
    </row>
    <row r="12" spans="1:17">
      <c r="B12" s="640">
        <f>DATE($D$2,$G$2,$K$2)</f>
        <v>43922</v>
      </c>
      <c r="C12" s="641"/>
      <c r="D12" s="402">
        <f ca="1">IFERROR(VLOOKUP(B12,DBLH[[tanggal]:[adm]],$D$10,0),0)</f>
        <v>0</v>
      </c>
      <c r="E12" s="402">
        <f ca="1">IFERROR(VLOOKUP(B12,DBLH[[tanggal]:[adm]],$E$10,0),0)</f>
        <v>6040</v>
      </c>
      <c r="F12" s="402">
        <f>IFERROR(VLOOKUP(B12,DBLH[[tanggal]:[adm]],$F$10,0),0)</f>
        <v>0</v>
      </c>
      <c r="G12" s="402">
        <f>IFERROR(VLOOKUP(B12,DBLH[[tanggal]:[adm]],$G$10,0),0)</f>
        <v>0</v>
      </c>
      <c r="H12" s="402">
        <f ca="1">IFERROR(VLOOKUP(B12,DBLH[[tanggal]:[adm]],$H$10,0),0)</f>
        <v>0</v>
      </c>
      <c r="I12" s="402">
        <f ca="1">IFERROR(VLOOKUP(B12,DBLH[[tanggal]:[adm]],$I$10,0),0)</f>
        <v>0</v>
      </c>
      <c r="J12" s="402">
        <f ca="1">IFERROR(VLOOKUP(B12,DBLH[[tanggal]:[adm]],$J$10,0),0)</f>
        <v>0</v>
      </c>
      <c r="K12" s="402">
        <f ca="1">IFERROR(VLOOKUP(B12,DBLH[[tanggal]:[adm]],$K$10,0),0)</f>
        <v>0</v>
      </c>
      <c r="L12" s="402">
        <f>IFERROR(VLOOKUP(B12,DBLH[[tanggal]:[adm]],$L$10,0),0)</f>
        <v>0</v>
      </c>
      <c r="M12" s="402">
        <f>IFERROR(VLOOKUP(B12,DBLH[[tanggal]:[adm]],$M$10,0),0)</f>
        <v>0</v>
      </c>
      <c r="N12" s="402">
        <f>IFERROR(VLOOKUP(B12,DBLH[[tanggal]:[adm]],$N$10,0),0)</f>
        <v>0</v>
      </c>
      <c r="O12" s="402">
        <f>IFERROR(VLOOKUP(B12,DBLH[[tanggal]:[adm]],$O$10,0),0)</f>
        <v>0</v>
      </c>
      <c r="P12" s="402">
        <f>IFERROR(VLOOKUP(B12,DBLH[[tanggal]:[adm]],$P$10,0),0)</f>
        <v>0</v>
      </c>
    </row>
    <row r="13" spans="1:17">
      <c r="B13" s="640">
        <f t="shared" ref="B13:B42" si="1">IFERROR(IF(MONTH(B12+1)=$G$2,B12+1,""),"")</f>
        <v>43923</v>
      </c>
      <c r="C13" s="641"/>
      <c r="D13" s="403">
        <f ca="1">IFERROR(VLOOKUP(B13,DBLH[[tanggal]:[adm]],$D$10,0),0)</f>
        <v>0</v>
      </c>
      <c r="E13" s="403">
        <f ca="1">IFERROR(VLOOKUP(B13,DBLH[[tanggal]:[adm]],$E$10,0),0)</f>
        <v>3240</v>
      </c>
      <c r="F13" s="403">
        <f>IFERROR(VLOOKUP(B13,DBLH[[tanggal]:[adm]],$F$10,0),0)</f>
        <v>0</v>
      </c>
      <c r="G13" s="403">
        <f>IFERROR(VLOOKUP(B13,DBLH[[tanggal]:[adm]],$G$10,0),0)</f>
        <v>0</v>
      </c>
      <c r="H13" s="403">
        <f ca="1">IFERROR(VLOOKUP(B13,DBLH[[tanggal]:[adm]],$H$10,0),0)</f>
        <v>0</v>
      </c>
      <c r="I13" s="403">
        <f ca="1">IFERROR(VLOOKUP(B13,DBLH[[tanggal]:[adm]],$I$10,0),0)</f>
        <v>0</v>
      </c>
      <c r="J13" s="403">
        <f ca="1">IFERROR(VLOOKUP(B13,DBLH[[tanggal]:[adm]],$J$10,0),0)</f>
        <v>0</v>
      </c>
      <c r="K13" s="403">
        <f ca="1">IFERROR(VLOOKUP(B13,DBLH[[tanggal]:[adm]],$K$10,0),0)</f>
        <v>0</v>
      </c>
      <c r="L13" s="403">
        <f>IFERROR(VLOOKUP(B13,DBLH[[tanggal]:[adm]],$L$10,0),0)</f>
        <v>0</v>
      </c>
      <c r="M13" s="403">
        <f>IFERROR(VLOOKUP(B13,DBLH[[tanggal]:[adm]],$M$10,0),0)</f>
        <v>0</v>
      </c>
      <c r="N13" s="403">
        <f>IFERROR(VLOOKUP(B13,DBLH[[tanggal]:[adm]],$N$10,0),0)</f>
        <v>0</v>
      </c>
      <c r="O13" s="403">
        <f>IFERROR(VLOOKUP(B13,DBLH[[tanggal]:[adm]],$O$10,0),0)</f>
        <v>0</v>
      </c>
      <c r="P13" s="403">
        <f>IFERROR(VLOOKUP(B13,DBLH[[tanggal]:[adm]],$P$10,0),0)</f>
        <v>0</v>
      </c>
    </row>
    <row r="14" spans="1:17">
      <c r="B14" s="640">
        <f t="shared" si="1"/>
        <v>43924</v>
      </c>
      <c r="C14" s="641"/>
      <c r="D14" s="403">
        <f ca="1">IFERROR(VLOOKUP(B14,DBLH[[tanggal]:[adm]],$D$10,0),0)</f>
        <v>0</v>
      </c>
      <c r="E14" s="403">
        <f ca="1">IFERROR(VLOOKUP(B14,DBLH[[tanggal]:[adm]],$E$10,0),0)</f>
        <v>0</v>
      </c>
      <c r="F14" s="403">
        <f>IFERROR(VLOOKUP(B14,DBLH[[tanggal]:[adm]],$F$10,0),0)</f>
        <v>0</v>
      </c>
      <c r="G14" s="403">
        <f>IFERROR(VLOOKUP(B14,DBLH[[tanggal]:[adm]],$G$10,0),0)</f>
        <v>0</v>
      </c>
      <c r="H14" s="403">
        <f ca="1">IFERROR(VLOOKUP(B14,DBLH[[tanggal]:[adm]],$H$10,0),0)</f>
        <v>0</v>
      </c>
      <c r="I14" s="403">
        <f ca="1">IFERROR(VLOOKUP(B14,DBLH[[tanggal]:[adm]],$I$10,0),0)</f>
        <v>0</v>
      </c>
      <c r="J14" s="403">
        <f ca="1">IFERROR(VLOOKUP(B14,DBLH[[tanggal]:[adm]],$J$10,0),0)</f>
        <v>0</v>
      </c>
      <c r="K14" s="403">
        <f ca="1">IFERROR(VLOOKUP(B14,DBLH[[tanggal]:[adm]],$K$10,0),0)</f>
        <v>0</v>
      </c>
      <c r="L14" s="403">
        <f>IFERROR(VLOOKUP(B14,DBLH[[tanggal]:[adm]],$L$10,0),0)</f>
        <v>0</v>
      </c>
      <c r="M14" s="403">
        <f>IFERROR(VLOOKUP(B14,DBLH[[tanggal]:[adm]],$M$10,0),0)</f>
        <v>0</v>
      </c>
      <c r="N14" s="403">
        <f>IFERROR(VLOOKUP(B14,DBLH[[tanggal]:[adm]],$N$10,0),0)</f>
        <v>0</v>
      </c>
      <c r="O14" s="403">
        <f>IFERROR(VLOOKUP(B14,DBLH[[tanggal]:[adm]],$O$10,0),0)</f>
        <v>0</v>
      </c>
      <c r="P14" s="403">
        <f>IFERROR(VLOOKUP(B14,DBLH[[tanggal]:[adm]],$P$10,0),0)</f>
        <v>0</v>
      </c>
    </row>
    <row r="15" spans="1:17">
      <c r="B15" s="640">
        <f t="shared" si="1"/>
        <v>43925</v>
      </c>
      <c r="C15" s="641"/>
      <c r="D15" s="403">
        <f ca="1">IFERROR(VLOOKUP(B15,DBLH[[tanggal]:[adm]],$D$10,0),0)</f>
        <v>0</v>
      </c>
      <c r="E15" s="403">
        <f ca="1">IFERROR(VLOOKUP(B15,DBLH[[tanggal]:[adm]],$E$10,0),0)</f>
        <v>0</v>
      </c>
      <c r="F15" s="403">
        <f>IFERROR(VLOOKUP(B15,DBLH[[tanggal]:[adm]],$F$10,0),0)</f>
        <v>0</v>
      </c>
      <c r="G15" s="403">
        <f>IFERROR(VLOOKUP(B15,DBLH[[tanggal]:[adm]],$G$10,0),0)</f>
        <v>0</v>
      </c>
      <c r="H15" s="403">
        <f ca="1">IFERROR(VLOOKUP(B15,DBLH[[tanggal]:[adm]],$H$10,0),0)</f>
        <v>0</v>
      </c>
      <c r="I15" s="403">
        <f ca="1">IFERROR(VLOOKUP(B15,DBLH[[tanggal]:[adm]],$I$10,0),0)</f>
        <v>0</v>
      </c>
      <c r="J15" s="403">
        <f ca="1">IFERROR(VLOOKUP(B15,DBLH[[tanggal]:[adm]],$J$10,0),0)</f>
        <v>0</v>
      </c>
      <c r="K15" s="403">
        <f ca="1">IFERROR(VLOOKUP(B15,DBLH[[tanggal]:[adm]],$K$10,0),0)</f>
        <v>0</v>
      </c>
      <c r="L15" s="403">
        <f>IFERROR(VLOOKUP(B15,DBLH[[tanggal]:[adm]],$L$10,0),0)</f>
        <v>0</v>
      </c>
      <c r="M15" s="403">
        <f>IFERROR(VLOOKUP(B15,DBLH[[tanggal]:[adm]],$M$10,0),0)</f>
        <v>0</v>
      </c>
      <c r="N15" s="403">
        <f>IFERROR(VLOOKUP(B15,DBLH[[tanggal]:[adm]],$N$10,0),0)</f>
        <v>0</v>
      </c>
      <c r="O15" s="403">
        <f>IFERROR(VLOOKUP(B15,DBLH[[tanggal]:[adm]],$O$10,0),0)</f>
        <v>0</v>
      </c>
      <c r="P15" s="403">
        <f>IFERROR(VLOOKUP(B15,DBLH[[tanggal]:[adm]],$P$10,0),0)</f>
        <v>0</v>
      </c>
    </row>
    <row r="16" spans="1:17">
      <c r="B16" s="640">
        <f t="shared" si="1"/>
        <v>43926</v>
      </c>
      <c r="C16" s="641"/>
      <c r="D16" s="403">
        <f ca="1">IFERROR(VLOOKUP(B16,DBLH[[tanggal]:[adm]],$D$10,0),0)</f>
        <v>0</v>
      </c>
      <c r="E16" s="403">
        <f ca="1">IFERROR(VLOOKUP(B16,DBLH[[tanggal]:[adm]],$E$10,0),0)</f>
        <v>0</v>
      </c>
      <c r="F16" s="403">
        <f>IFERROR(VLOOKUP(B16,DBLH[[tanggal]:[adm]],$F$10,0),0)</f>
        <v>0</v>
      </c>
      <c r="G16" s="403">
        <f>IFERROR(VLOOKUP(B16,DBLH[[tanggal]:[adm]],$G$10,0),0)</f>
        <v>0</v>
      </c>
      <c r="H16" s="403">
        <f ca="1">IFERROR(VLOOKUP(B16,DBLH[[tanggal]:[adm]],$H$10,0),0)</f>
        <v>0</v>
      </c>
      <c r="I16" s="403">
        <f ca="1">IFERROR(VLOOKUP(B16,DBLH[[tanggal]:[adm]],$I$10,0),0)</f>
        <v>0</v>
      </c>
      <c r="J16" s="403">
        <f ca="1">IFERROR(VLOOKUP(B16,DBLH[[tanggal]:[adm]],$J$10,0),0)</f>
        <v>0</v>
      </c>
      <c r="K16" s="403">
        <f ca="1">IFERROR(VLOOKUP(B16,DBLH[[tanggal]:[adm]],$K$10,0),0)</f>
        <v>0</v>
      </c>
      <c r="L16" s="403">
        <f>IFERROR(VLOOKUP(B16,DBLH[[tanggal]:[adm]],$L$10,0),0)</f>
        <v>0</v>
      </c>
      <c r="M16" s="403">
        <f>IFERROR(VLOOKUP(B16,DBLH[[tanggal]:[adm]],$M$10,0),0)</f>
        <v>0</v>
      </c>
      <c r="N16" s="403">
        <f>IFERROR(VLOOKUP(B16,DBLH[[tanggal]:[adm]],$N$10,0),0)</f>
        <v>0</v>
      </c>
      <c r="O16" s="403">
        <f>IFERROR(VLOOKUP(B16,DBLH[[tanggal]:[adm]],$O$10,0),0)</f>
        <v>0</v>
      </c>
      <c r="P16" s="403">
        <f>IFERROR(VLOOKUP(B16,DBLH[[tanggal]:[adm]],$P$10,0),0)</f>
        <v>0</v>
      </c>
    </row>
    <row r="17" spans="2:16">
      <c r="B17" s="640">
        <f t="shared" si="1"/>
        <v>43927</v>
      </c>
      <c r="C17" s="641"/>
      <c r="D17" s="403">
        <f ca="1">IFERROR(VLOOKUP(B17,DBLH[[tanggal]:[adm]],$D$10,0),0)</f>
        <v>0</v>
      </c>
      <c r="E17" s="403">
        <f ca="1">IFERROR(VLOOKUP(B17,DBLH[[tanggal]:[adm]],$E$10,0),0)</f>
        <v>0</v>
      </c>
      <c r="F17" s="403">
        <f>IFERROR(VLOOKUP(B17,DBLH[[tanggal]:[adm]],$F$10,0),0)</f>
        <v>0</v>
      </c>
      <c r="G17" s="403">
        <f>IFERROR(VLOOKUP(B17,DBLH[[tanggal]:[adm]],$G$10,0),0)</f>
        <v>0</v>
      </c>
      <c r="H17" s="403">
        <f ca="1">IFERROR(VLOOKUP(B17,DBLH[[tanggal]:[adm]],$H$10,0),0)</f>
        <v>0</v>
      </c>
      <c r="I17" s="403">
        <f ca="1">IFERROR(VLOOKUP(B17,DBLH[[tanggal]:[adm]],$I$10,0),0)</f>
        <v>0</v>
      </c>
      <c r="J17" s="403">
        <f ca="1">IFERROR(VLOOKUP(B17,DBLH[[tanggal]:[adm]],$J$10,0),0)</f>
        <v>0</v>
      </c>
      <c r="K17" s="403">
        <f ca="1">IFERROR(VLOOKUP(B17,DBLH[[tanggal]:[adm]],$K$10,0),0)</f>
        <v>0</v>
      </c>
      <c r="L17" s="403">
        <f>IFERROR(VLOOKUP(B17,DBLH[[tanggal]:[adm]],$L$10,0),0)</f>
        <v>0</v>
      </c>
      <c r="M17" s="403">
        <f>IFERROR(VLOOKUP(B17,DBLH[[tanggal]:[adm]],$M$10,0),0)</f>
        <v>0</v>
      </c>
      <c r="N17" s="403">
        <f>IFERROR(VLOOKUP(B17,DBLH[[tanggal]:[adm]],$N$10,0),0)</f>
        <v>0</v>
      </c>
      <c r="O17" s="403">
        <f>IFERROR(VLOOKUP(B17,DBLH[[tanggal]:[adm]],$O$10,0),0)</f>
        <v>0</v>
      </c>
      <c r="P17" s="403">
        <f>IFERROR(VLOOKUP(B17,DBLH[[tanggal]:[adm]],$P$10,0),0)</f>
        <v>0</v>
      </c>
    </row>
    <row r="18" spans="2:16">
      <c r="B18" s="640">
        <f t="shared" si="1"/>
        <v>43928</v>
      </c>
      <c r="C18" s="641"/>
      <c r="D18" s="403">
        <f ca="1">IFERROR(VLOOKUP(B18,DBLH[[tanggal]:[adm]],$D$10,0),0)</f>
        <v>0</v>
      </c>
      <c r="E18" s="403">
        <f ca="1">IFERROR(VLOOKUP(B18,DBLH[[tanggal]:[adm]],$E$10,0),0)</f>
        <v>0</v>
      </c>
      <c r="F18" s="403">
        <f>IFERROR(VLOOKUP(B18,DBLH[[tanggal]:[adm]],$F$10,0),0)</f>
        <v>0</v>
      </c>
      <c r="G18" s="403">
        <f>IFERROR(VLOOKUP(B18,DBLH[[tanggal]:[adm]],$G$10,0),0)</f>
        <v>0</v>
      </c>
      <c r="H18" s="403">
        <f ca="1">IFERROR(VLOOKUP(B18,DBLH[[tanggal]:[adm]],$H$10,0),0)</f>
        <v>0</v>
      </c>
      <c r="I18" s="403">
        <f ca="1">IFERROR(VLOOKUP(B18,DBLH[[tanggal]:[adm]],$I$10,0),0)</f>
        <v>0</v>
      </c>
      <c r="J18" s="403">
        <f ca="1">IFERROR(VLOOKUP(B18,DBLH[[tanggal]:[adm]],$J$10,0),0)</f>
        <v>0</v>
      </c>
      <c r="K18" s="403">
        <f ca="1">IFERROR(VLOOKUP(B18,DBLH[[tanggal]:[adm]],$K$10,0),0)</f>
        <v>0</v>
      </c>
      <c r="L18" s="403">
        <f>IFERROR(VLOOKUP(B18,DBLH[[tanggal]:[adm]],$L$10,0),0)</f>
        <v>0</v>
      </c>
      <c r="M18" s="403">
        <f>IFERROR(VLOOKUP(B18,DBLH[[tanggal]:[adm]],$M$10,0),0)</f>
        <v>0</v>
      </c>
      <c r="N18" s="403">
        <f>IFERROR(VLOOKUP(B18,DBLH[[tanggal]:[adm]],$N$10,0),0)</f>
        <v>0</v>
      </c>
      <c r="O18" s="403">
        <f>IFERROR(VLOOKUP(B18,DBLH[[tanggal]:[adm]],$O$10,0),0)</f>
        <v>0</v>
      </c>
      <c r="P18" s="403">
        <f>IFERROR(VLOOKUP(B18,DBLH[[tanggal]:[adm]],$P$10,0),0)</f>
        <v>0</v>
      </c>
    </row>
    <row r="19" spans="2:16">
      <c r="B19" s="640">
        <f t="shared" si="1"/>
        <v>43929</v>
      </c>
      <c r="C19" s="641"/>
      <c r="D19" s="403">
        <f ca="1">IFERROR(VLOOKUP(B19,DBLH[[tanggal]:[adm]],$D$10,0),0)</f>
        <v>0</v>
      </c>
      <c r="E19" s="403">
        <f ca="1">IFERROR(VLOOKUP(B19,DBLH[[tanggal]:[adm]],$E$10,0),0)</f>
        <v>0</v>
      </c>
      <c r="F19" s="403">
        <f>IFERROR(VLOOKUP(B19,DBLH[[tanggal]:[adm]],$F$10,0),0)</f>
        <v>0</v>
      </c>
      <c r="G19" s="403">
        <f>IFERROR(VLOOKUP(B19,DBLH[[tanggal]:[adm]],$G$10,0),0)</f>
        <v>0</v>
      </c>
      <c r="H19" s="403">
        <f ca="1">IFERROR(VLOOKUP(B19,DBLH[[tanggal]:[adm]],$H$10,0),0)</f>
        <v>0</v>
      </c>
      <c r="I19" s="403">
        <f ca="1">IFERROR(VLOOKUP(B19,DBLH[[tanggal]:[adm]],$I$10,0),0)</f>
        <v>0</v>
      </c>
      <c r="J19" s="403">
        <f ca="1">IFERROR(VLOOKUP(B19,DBLH[[tanggal]:[adm]],$J$10,0),0)</f>
        <v>0</v>
      </c>
      <c r="K19" s="403">
        <f ca="1">IFERROR(VLOOKUP(B19,DBLH[[tanggal]:[adm]],$K$10,0),0)</f>
        <v>0</v>
      </c>
      <c r="L19" s="403">
        <f>IFERROR(VLOOKUP(B19,DBLH[[tanggal]:[adm]],$L$10,0),0)</f>
        <v>0</v>
      </c>
      <c r="M19" s="403">
        <f>IFERROR(VLOOKUP(B19,DBLH[[tanggal]:[adm]],$M$10,0),0)</f>
        <v>0</v>
      </c>
      <c r="N19" s="403">
        <f>IFERROR(VLOOKUP(B19,DBLH[[tanggal]:[adm]],$N$10,0),0)</f>
        <v>0</v>
      </c>
      <c r="O19" s="403">
        <f>IFERROR(VLOOKUP(B19,DBLH[[tanggal]:[adm]],$O$10,0),0)</f>
        <v>0</v>
      </c>
      <c r="P19" s="403">
        <f>IFERROR(VLOOKUP(B19,DBLH[[tanggal]:[adm]],$P$10,0),0)</f>
        <v>0</v>
      </c>
    </row>
    <row r="20" spans="2:16">
      <c r="B20" s="640">
        <f t="shared" si="1"/>
        <v>43930</v>
      </c>
      <c r="C20" s="641"/>
      <c r="D20" s="403">
        <f ca="1">IFERROR(VLOOKUP(B20,DBLH[[tanggal]:[adm]],$D$10,0),0)</f>
        <v>0</v>
      </c>
      <c r="E20" s="403">
        <f ca="1">IFERROR(VLOOKUP(B20,DBLH[[tanggal]:[adm]],$E$10,0),0)</f>
        <v>0</v>
      </c>
      <c r="F20" s="403">
        <f>IFERROR(VLOOKUP(B20,DBLH[[tanggal]:[adm]],$F$10,0),0)</f>
        <v>0</v>
      </c>
      <c r="G20" s="403">
        <f>IFERROR(VLOOKUP(B20,DBLH[[tanggal]:[adm]],$G$10,0),0)</f>
        <v>0</v>
      </c>
      <c r="H20" s="403">
        <f ca="1">IFERROR(VLOOKUP(B20,DBLH[[tanggal]:[adm]],$H$10,0),0)</f>
        <v>0</v>
      </c>
      <c r="I20" s="403">
        <f ca="1">IFERROR(VLOOKUP(B20,DBLH[[tanggal]:[adm]],$I$10,0),0)</f>
        <v>0</v>
      </c>
      <c r="J20" s="403">
        <f ca="1">IFERROR(VLOOKUP(B20,DBLH[[tanggal]:[adm]],$J$10,0),0)</f>
        <v>0</v>
      </c>
      <c r="K20" s="403">
        <f ca="1">IFERROR(VLOOKUP(B20,DBLH[[tanggal]:[adm]],$K$10,0),0)</f>
        <v>0</v>
      </c>
      <c r="L20" s="403">
        <f>IFERROR(VLOOKUP(B20,DBLH[[tanggal]:[adm]],$L$10,0),0)</f>
        <v>0</v>
      </c>
      <c r="M20" s="403">
        <f>IFERROR(VLOOKUP(B20,DBLH[[tanggal]:[adm]],$M$10,0),0)</f>
        <v>0</v>
      </c>
      <c r="N20" s="403">
        <f>IFERROR(VLOOKUP(B20,DBLH[[tanggal]:[adm]],$N$10,0),0)</f>
        <v>0</v>
      </c>
      <c r="O20" s="403">
        <f>IFERROR(VLOOKUP(B20,DBLH[[tanggal]:[adm]],$O$10,0),0)</f>
        <v>0</v>
      </c>
      <c r="P20" s="403">
        <f>IFERROR(VLOOKUP(B20,DBLH[[tanggal]:[adm]],$P$10,0),0)</f>
        <v>0</v>
      </c>
    </row>
    <row r="21" spans="2:16">
      <c r="B21" s="640">
        <f t="shared" si="1"/>
        <v>43931</v>
      </c>
      <c r="C21" s="641"/>
      <c r="D21" s="403">
        <f ca="1">IFERROR(VLOOKUP(B21,DBLH[[tanggal]:[adm]],$D$10,0),0)</f>
        <v>0</v>
      </c>
      <c r="E21" s="403">
        <f ca="1">IFERROR(VLOOKUP(B21,DBLH[[tanggal]:[adm]],$E$10,0),0)</f>
        <v>0</v>
      </c>
      <c r="F21" s="403">
        <f>IFERROR(VLOOKUP(B21,DBLH[[tanggal]:[adm]],$F$10,0),0)</f>
        <v>0</v>
      </c>
      <c r="G21" s="403">
        <f>IFERROR(VLOOKUP(B21,DBLH[[tanggal]:[adm]],$G$10,0),0)</f>
        <v>0</v>
      </c>
      <c r="H21" s="403">
        <f ca="1">IFERROR(VLOOKUP(B21,DBLH[[tanggal]:[adm]],$H$10,0),0)</f>
        <v>0</v>
      </c>
      <c r="I21" s="403">
        <f ca="1">IFERROR(VLOOKUP(B21,DBLH[[tanggal]:[adm]],$I$10,0),0)</f>
        <v>0</v>
      </c>
      <c r="J21" s="403">
        <f ca="1">IFERROR(VLOOKUP(B21,DBLH[[tanggal]:[adm]],$J$10,0),0)</f>
        <v>0</v>
      </c>
      <c r="K21" s="403">
        <f ca="1">IFERROR(VLOOKUP(B21,DBLH[[tanggal]:[adm]],$K$10,0),0)</f>
        <v>0</v>
      </c>
      <c r="L21" s="403">
        <f>IFERROR(VLOOKUP(B21,DBLH[[tanggal]:[adm]],$L$10,0),0)</f>
        <v>0</v>
      </c>
      <c r="M21" s="403">
        <f>IFERROR(VLOOKUP(B21,DBLH[[tanggal]:[adm]],$M$10,0),0)</f>
        <v>0</v>
      </c>
      <c r="N21" s="403">
        <f>IFERROR(VLOOKUP(B21,DBLH[[tanggal]:[adm]],$N$10,0),0)</f>
        <v>0</v>
      </c>
      <c r="O21" s="403">
        <f>IFERROR(VLOOKUP(B21,DBLH[[tanggal]:[adm]],$O$10,0),0)</f>
        <v>0</v>
      </c>
      <c r="P21" s="403">
        <f>IFERROR(VLOOKUP(B21,DBLH[[tanggal]:[adm]],$P$10,0),0)</f>
        <v>0</v>
      </c>
    </row>
    <row r="22" spans="2:16">
      <c r="B22" s="640">
        <f t="shared" si="1"/>
        <v>43932</v>
      </c>
      <c r="C22" s="641"/>
      <c r="D22" s="403">
        <f ca="1">IFERROR(VLOOKUP(B22,DBLH[[tanggal]:[adm]],$D$10,0),0)</f>
        <v>0</v>
      </c>
      <c r="E22" s="403">
        <f ca="1">IFERROR(VLOOKUP(B22,DBLH[[tanggal]:[adm]],$E$10,0),0)</f>
        <v>0</v>
      </c>
      <c r="F22" s="403">
        <f>IFERROR(VLOOKUP(B22,DBLH[[tanggal]:[adm]],$F$10,0),0)</f>
        <v>0</v>
      </c>
      <c r="G22" s="403">
        <f>IFERROR(VLOOKUP(B22,DBLH[[tanggal]:[adm]],$G$10,0),0)</f>
        <v>0</v>
      </c>
      <c r="H22" s="403">
        <f ca="1">IFERROR(VLOOKUP(B22,DBLH[[tanggal]:[adm]],$H$10,0),0)</f>
        <v>0</v>
      </c>
      <c r="I22" s="403">
        <f ca="1">IFERROR(VLOOKUP(B22,DBLH[[tanggal]:[adm]],$I$10,0),0)</f>
        <v>0</v>
      </c>
      <c r="J22" s="403">
        <f ca="1">IFERROR(VLOOKUP(B22,DBLH[[tanggal]:[adm]],$J$10,0),0)</f>
        <v>0</v>
      </c>
      <c r="K22" s="403">
        <f ca="1">IFERROR(VLOOKUP(B22,DBLH[[tanggal]:[adm]],$K$10,0),0)</f>
        <v>0</v>
      </c>
      <c r="L22" s="403">
        <f>IFERROR(VLOOKUP(B22,DBLH[[tanggal]:[adm]],$L$10,0),0)</f>
        <v>0</v>
      </c>
      <c r="M22" s="403">
        <f>IFERROR(VLOOKUP(B22,DBLH[[tanggal]:[adm]],$M$10,0),0)</f>
        <v>0</v>
      </c>
      <c r="N22" s="403">
        <f>IFERROR(VLOOKUP(B22,DBLH[[tanggal]:[adm]],$N$10,0),0)</f>
        <v>0</v>
      </c>
      <c r="O22" s="403">
        <f>IFERROR(VLOOKUP(B22,DBLH[[tanggal]:[adm]],$O$10,0),0)</f>
        <v>0</v>
      </c>
      <c r="P22" s="403">
        <f>IFERROR(VLOOKUP(B22,DBLH[[tanggal]:[adm]],$P$10,0),0)</f>
        <v>0</v>
      </c>
    </row>
    <row r="23" spans="2:16">
      <c r="B23" s="640">
        <f t="shared" si="1"/>
        <v>43933</v>
      </c>
      <c r="C23" s="641"/>
      <c r="D23" s="403">
        <f ca="1">IFERROR(VLOOKUP(B23,DBLH[[tanggal]:[adm]],$D$10,0),0)</f>
        <v>0</v>
      </c>
      <c r="E23" s="403">
        <f ca="1">IFERROR(VLOOKUP(B23,DBLH[[tanggal]:[adm]],$E$10,0),0)</f>
        <v>0</v>
      </c>
      <c r="F23" s="403">
        <f>IFERROR(VLOOKUP(B23,DBLH[[tanggal]:[adm]],$F$10,0),0)</f>
        <v>0</v>
      </c>
      <c r="G23" s="403">
        <f>IFERROR(VLOOKUP(B23,DBLH[[tanggal]:[adm]],$G$10,0),0)</f>
        <v>0</v>
      </c>
      <c r="H23" s="403">
        <f ca="1">IFERROR(VLOOKUP(B23,DBLH[[tanggal]:[adm]],$H$10,0),0)</f>
        <v>0</v>
      </c>
      <c r="I23" s="403">
        <f ca="1">IFERROR(VLOOKUP(B23,DBLH[[tanggal]:[adm]],$I$10,0),0)</f>
        <v>0</v>
      </c>
      <c r="J23" s="403">
        <f ca="1">IFERROR(VLOOKUP(B23,DBLH[[tanggal]:[adm]],$J$10,0),0)</f>
        <v>0</v>
      </c>
      <c r="K23" s="403">
        <f ca="1">IFERROR(VLOOKUP(B23,DBLH[[tanggal]:[adm]],$K$10,0),0)</f>
        <v>0</v>
      </c>
      <c r="L23" s="403">
        <f>IFERROR(VLOOKUP(B23,DBLH[[tanggal]:[adm]],$L$10,0),0)</f>
        <v>0</v>
      </c>
      <c r="M23" s="403">
        <f>IFERROR(VLOOKUP(B23,DBLH[[tanggal]:[adm]],$M$10,0),0)</f>
        <v>0</v>
      </c>
      <c r="N23" s="403">
        <f>IFERROR(VLOOKUP(B23,DBLH[[tanggal]:[adm]],$N$10,0),0)</f>
        <v>0</v>
      </c>
      <c r="O23" s="403">
        <f>IFERROR(VLOOKUP(B23,DBLH[[tanggal]:[adm]],$O$10,0),0)</f>
        <v>0</v>
      </c>
      <c r="P23" s="403">
        <f>IFERROR(VLOOKUP(B23,DBLH[[tanggal]:[adm]],$P$10,0),0)</f>
        <v>0</v>
      </c>
    </row>
    <row r="24" spans="2:16">
      <c r="B24" s="640">
        <f t="shared" si="1"/>
        <v>43934</v>
      </c>
      <c r="C24" s="641"/>
      <c r="D24" s="403">
        <f ca="1">IFERROR(VLOOKUP(B24,DBLH[[tanggal]:[adm]],$D$10,0),0)</f>
        <v>0</v>
      </c>
      <c r="E24" s="403">
        <f ca="1">IFERROR(VLOOKUP(B24,DBLH[[tanggal]:[adm]],$E$10,0),0)</f>
        <v>0</v>
      </c>
      <c r="F24" s="403">
        <f>IFERROR(VLOOKUP(B24,DBLH[[tanggal]:[adm]],$F$10,0),0)</f>
        <v>0</v>
      </c>
      <c r="G24" s="403">
        <f>IFERROR(VLOOKUP(B24,DBLH[[tanggal]:[adm]],$G$10,0),0)</f>
        <v>0</v>
      </c>
      <c r="H24" s="403">
        <f ca="1">IFERROR(VLOOKUP(B24,DBLH[[tanggal]:[adm]],$H$10,0),0)</f>
        <v>0</v>
      </c>
      <c r="I24" s="403">
        <f ca="1">IFERROR(VLOOKUP(B24,DBLH[[tanggal]:[adm]],$I$10,0),0)</f>
        <v>0</v>
      </c>
      <c r="J24" s="403">
        <f ca="1">IFERROR(VLOOKUP(B24,DBLH[[tanggal]:[adm]],$J$10,0),0)</f>
        <v>0</v>
      </c>
      <c r="K24" s="403">
        <f ca="1">IFERROR(VLOOKUP(B24,DBLH[[tanggal]:[adm]],$K$10,0),0)</f>
        <v>0</v>
      </c>
      <c r="L24" s="403">
        <f>IFERROR(VLOOKUP(B24,DBLH[[tanggal]:[adm]],$L$10,0),0)</f>
        <v>0</v>
      </c>
      <c r="M24" s="403">
        <f>IFERROR(VLOOKUP(B24,DBLH[[tanggal]:[adm]],$M$10,0),0)</f>
        <v>0</v>
      </c>
      <c r="N24" s="403">
        <f>IFERROR(VLOOKUP(B24,DBLH[[tanggal]:[adm]],$N$10,0),0)</f>
        <v>0</v>
      </c>
      <c r="O24" s="403">
        <f>IFERROR(VLOOKUP(B24,DBLH[[tanggal]:[adm]],$O$10,0),0)</f>
        <v>0</v>
      </c>
      <c r="P24" s="403">
        <f>IFERROR(VLOOKUP(B24,DBLH[[tanggal]:[adm]],$P$10,0),0)</f>
        <v>0</v>
      </c>
    </row>
    <row r="25" spans="2:16">
      <c r="B25" s="640">
        <f t="shared" si="1"/>
        <v>43935</v>
      </c>
      <c r="C25" s="641"/>
      <c r="D25" s="403">
        <f ca="1">IFERROR(VLOOKUP(B25,DBLH[[tanggal]:[adm]],$D$10,0),0)</f>
        <v>0</v>
      </c>
      <c r="E25" s="403">
        <f ca="1">IFERROR(VLOOKUP(B25,DBLH[[tanggal]:[adm]],$E$10,0),0)</f>
        <v>0</v>
      </c>
      <c r="F25" s="403">
        <f>IFERROR(VLOOKUP(B25,DBLH[[tanggal]:[adm]],$F$10,0),0)</f>
        <v>0</v>
      </c>
      <c r="G25" s="403">
        <f>IFERROR(VLOOKUP(B25,DBLH[[tanggal]:[adm]],$G$10,0),0)</f>
        <v>0</v>
      </c>
      <c r="H25" s="403">
        <f ca="1">IFERROR(VLOOKUP(B25,DBLH[[tanggal]:[adm]],$H$10,0),0)</f>
        <v>0</v>
      </c>
      <c r="I25" s="403">
        <f ca="1">IFERROR(VLOOKUP(B25,DBLH[[tanggal]:[adm]],$I$10,0),0)</f>
        <v>0</v>
      </c>
      <c r="J25" s="403">
        <f ca="1">IFERROR(VLOOKUP(B25,DBLH[[tanggal]:[adm]],$J$10,0),0)</f>
        <v>0</v>
      </c>
      <c r="K25" s="403">
        <f ca="1">IFERROR(VLOOKUP(B25,DBLH[[tanggal]:[adm]],$K$10,0),0)</f>
        <v>0</v>
      </c>
      <c r="L25" s="403">
        <f>IFERROR(VLOOKUP(B25,DBLH[[tanggal]:[adm]],$L$10,0),0)</f>
        <v>0</v>
      </c>
      <c r="M25" s="403">
        <f>IFERROR(VLOOKUP(B25,DBLH[[tanggal]:[adm]],$M$10,0),0)</f>
        <v>0</v>
      </c>
      <c r="N25" s="403">
        <f>IFERROR(VLOOKUP(B25,DBLH[[tanggal]:[adm]],$N$10,0),0)</f>
        <v>0</v>
      </c>
      <c r="O25" s="403">
        <f>IFERROR(VLOOKUP(B25,DBLH[[tanggal]:[adm]],$O$10,0),0)</f>
        <v>0</v>
      </c>
      <c r="P25" s="403">
        <f>IFERROR(VLOOKUP(B25,DBLH[[tanggal]:[adm]],$P$10,0),0)</f>
        <v>0</v>
      </c>
    </row>
    <row r="26" spans="2:16">
      <c r="B26" s="640">
        <f t="shared" si="1"/>
        <v>43936</v>
      </c>
      <c r="C26" s="641"/>
      <c r="D26" s="403">
        <f ca="1">IFERROR(VLOOKUP(B26,DBLH[[tanggal]:[adm]],$D$10,0),0)</f>
        <v>0</v>
      </c>
      <c r="E26" s="403">
        <f ca="1">IFERROR(VLOOKUP(B26,DBLH[[tanggal]:[adm]],$E$10,0),0)</f>
        <v>0</v>
      </c>
      <c r="F26" s="403">
        <f>IFERROR(VLOOKUP(B26,DBLH[[tanggal]:[adm]],$F$10,0),0)</f>
        <v>0</v>
      </c>
      <c r="G26" s="403">
        <f>IFERROR(VLOOKUP(B26,DBLH[[tanggal]:[adm]],$G$10,0),0)</f>
        <v>0</v>
      </c>
      <c r="H26" s="403">
        <f ca="1">IFERROR(VLOOKUP(B26,DBLH[[tanggal]:[adm]],$H$10,0),0)</f>
        <v>0</v>
      </c>
      <c r="I26" s="403">
        <f ca="1">IFERROR(VLOOKUP(B26,DBLH[[tanggal]:[adm]],$I$10,0),0)</f>
        <v>0</v>
      </c>
      <c r="J26" s="403">
        <f ca="1">IFERROR(VLOOKUP(B26,DBLH[[tanggal]:[adm]],$J$10,0),0)</f>
        <v>0</v>
      </c>
      <c r="K26" s="403">
        <f ca="1">IFERROR(VLOOKUP(B26,DBLH[[tanggal]:[adm]],$K$10,0),0)</f>
        <v>0</v>
      </c>
      <c r="L26" s="403">
        <f>IFERROR(VLOOKUP(B26,DBLH[[tanggal]:[adm]],$L$10,0),0)</f>
        <v>0</v>
      </c>
      <c r="M26" s="403">
        <f>IFERROR(VLOOKUP(B26,DBLH[[tanggal]:[adm]],$M$10,0),0)</f>
        <v>0</v>
      </c>
      <c r="N26" s="403">
        <f>IFERROR(VLOOKUP(B26,DBLH[[tanggal]:[adm]],$N$10,0),0)</f>
        <v>0</v>
      </c>
      <c r="O26" s="403">
        <f>IFERROR(VLOOKUP(B26,DBLH[[tanggal]:[adm]],$O$10,0),0)</f>
        <v>0</v>
      </c>
      <c r="P26" s="403">
        <f>IFERROR(VLOOKUP(B26,DBLH[[tanggal]:[adm]],$P$10,0),0)</f>
        <v>0</v>
      </c>
    </row>
    <row r="27" spans="2:16">
      <c r="B27" s="640">
        <f t="shared" si="1"/>
        <v>43937</v>
      </c>
      <c r="C27" s="641"/>
      <c r="D27" s="403">
        <f ca="1">IFERROR(VLOOKUP(B27,DBLH[[tanggal]:[adm]],$D$10,0),0)</f>
        <v>0</v>
      </c>
      <c r="E27" s="403">
        <f ca="1">IFERROR(VLOOKUP(B27,DBLH[[tanggal]:[adm]],$E$10,0),0)</f>
        <v>0</v>
      </c>
      <c r="F27" s="403">
        <f>IFERROR(VLOOKUP(B27,DBLH[[tanggal]:[adm]],$F$10,0),0)</f>
        <v>0</v>
      </c>
      <c r="G27" s="403">
        <f>IFERROR(VLOOKUP(B27,DBLH[[tanggal]:[adm]],$G$10,0),0)</f>
        <v>0</v>
      </c>
      <c r="H27" s="403">
        <f ca="1">IFERROR(VLOOKUP(B27,DBLH[[tanggal]:[adm]],$H$10,0),0)</f>
        <v>0</v>
      </c>
      <c r="I27" s="403">
        <f ca="1">IFERROR(VLOOKUP(B27,DBLH[[tanggal]:[adm]],$I$10,0),0)</f>
        <v>0</v>
      </c>
      <c r="J27" s="403">
        <f ca="1">IFERROR(VLOOKUP(B27,DBLH[[tanggal]:[adm]],$J$10,0),0)</f>
        <v>0</v>
      </c>
      <c r="K27" s="403">
        <f ca="1">IFERROR(VLOOKUP(B27,DBLH[[tanggal]:[adm]],$K$10,0),0)</f>
        <v>0</v>
      </c>
      <c r="L27" s="403">
        <f>IFERROR(VLOOKUP(B27,DBLH[[tanggal]:[adm]],$L$10,0),0)</f>
        <v>0</v>
      </c>
      <c r="M27" s="403">
        <f>IFERROR(VLOOKUP(B27,DBLH[[tanggal]:[adm]],$M$10,0),0)</f>
        <v>0</v>
      </c>
      <c r="N27" s="403">
        <f>IFERROR(VLOOKUP(B27,DBLH[[tanggal]:[adm]],$N$10,0),0)</f>
        <v>0</v>
      </c>
      <c r="O27" s="403">
        <f>IFERROR(VLOOKUP(B27,DBLH[[tanggal]:[adm]],$O$10,0),0)</f>
        <v>0</v>
      </c>
      <c r="P27" s="403">
        <f>IFERROR(VLOOKUP(B27,DBLH[[tanggal]:[adm]],$P$10,0),0)</f>
        <v>0</v>
      </c>
    </row>
    <row r="28" spans="2:16">
      <c r="B28" s="640">
        <f t="shared" si="1"/>
        <v>43938</v>
      </c>
      <c r="C28" s="641"/>
      <c r="D28" s="403">
        <f ca="1">IFERROR(VLOOKUP(B28,DBLH[[tanggal]:[adm]],$D$10,0),0)</f>
        <v>0</v>
      </c>
      <c r="E28" s="403">
        <f ca="1">IFERROR(VLOOKUP(B28,DBLH[[tanggal]:[adm]],$E$10,0),0)</f>
        <v>0</v>
      </c>
      <c r="F28" s="403">
        <f>IFERROR(VLOOKUP(B28,DBLH[[tanggal]:[adm]],$F$10,0),0)</f>
        <v>0</v>
      </c>
      <c r="G28" s="403">
        <f>IFERROR(VLOOKUP(B28,DBLH[[tanggal]:[adm]],$G$10,0),0)</f>
        <v>0</v>
      </c>
      <c r="H28" s="403">
        <f ca="1">IFERROR(VLOOKUP(B28,DBLH[[tanggal]:[adm]],$H$10,0),0)</f>
        <v>0</v>
      </c>
      <c r="I28" s="403">
        <f ca="1">IFERROR(VLOOKUP(B28,DBLH[[tanggal]:[adm]],$I$10,0),0)</f>
        <v>0</v>
      </c>
      <c r="J28" s="403">
        <f ca="1">IFERROR(VLOOKUP(B28,DBLH[[tanggal]:[adm]],$J$10,0),0)</f>
        <v>0</v>
      </c>
      <c r="K28" s="403">
        <f ca="1">IFERROR(VLOOKUP(B28,DBLH[[tanggal]:[adm]],$K$10,0),0)</f>
        <v>0</v>
      </c>
      <c r="L28" s="403">
        <f>IFERROR(VLOOKUP(B28,DBLH[[tanggal]:[adm]],$L$10,0),0)</f>
        <v>0</v>
      </c>
      <c r="M28" s="403">
        <f>IFERROR(VLOOKUP(B28,DBLH[[tanggal]:[adm]],$M$10,0),0)</f>
        <v>0</v>
      </c>
      <c r="N28" s="403">
        <f>IFERROR(VLOOKUP(B28,DBLH[[tanggal]:[adm]],$N$10,0),0)</f>
        <v>0</v>
      </c>
      <c r="O28" s="403">
        <f>IFERROR(VLOOKUP(B28,DBLH[[tanggal]:[adm]],$O$10,0),0)</f>
        <v>0</v>
      </c>
      <c r="P28" s="403">
        <f>IFERROR(VLOOKUP(B28,DBLH[[tanggal]:[adm]],$P$10,0),0)</f>
        <v>0</v>
      </c>
    </row>
    <row r="29" spans="2:16">
      <c r="B29" s="640">
        <f t="shared" si="1"/>
        <v>43939</v>
      </c>
      <c r="C29" s="641"/>
      <c r="D29" s="403">
        <f ca="1">IFERROR(VLOOKUP(B29,DBLH[[tanggal]:[adm]],$D$10,0),0)</f>
        <v>0</v>
      </c>
      <c r="E29" s="403">
        <f ca="1">IFERROR(VLOOKUP(B29,DBLH[[tanggal]:[adm]],$E$10,0),0)</f>
        <v>0</v>
      </c>
      <c r="F29" s="403">
        <f>IFERROR(VLOOKUP(B29,DBLH[[tanggal]:[adm]],$F$10,0),0)</f>
        <v>0</v>
      </c>
      <c r="G29" s="403">
        <f>IFERROR(VLOOKUP(B29,DBLH[[tanggal]:[adm]],$G$10,0),0)</f>
        <v>0</v>
      </c>
      <c r="H29" s="403">
        <f ca="1">IFERROR(VLOOKUP(B29,DBLH[[tanggal]:[adm]],$H$10,0),0)</f>
        <v>0</v>
      </c>
      <c r="I29" s="403">
        <f ca="1">IFERROR(VLOOKUP(B29,DBLH[[tanggal]:[adm]],$I$10,0),0)</f>
        <v>0</v>
      </c>
      <c r="J29" s="403">
        <f ca="1">IFERROR(VLOOKUP(B29,DBLH[[tanggal]:[adm]],$J$10,0),0)</f>
        <v>0</v>
      </c>
      <c r="K29" s="403">
        <f ca="1">IFERROR(VLOOKUP(B29,DBLH[[tanggal]:[adm]],$K$10,0),0)</f>
        <v>0</v>
      </c>
      <c r="L29" s="403">
        <f>IFERROR(VLOOKUP(B29,DBLH[[tanggal]:[adm]],$L$10,0),0)</f>
        <v>0</v>
      </c>
      <c r="M29" s="403">
        <f>IFERROR(VLOOKUP(B29,DBLH[[tanggal]:[adm]],$M$10,0),0)</f>
        <v>0</v>
      </c>
      <c r="N29" s="403">
        <f>IFERROR(VLOOKUP(B29,DBLH[[tanggal]:[adm]],$N$10,0),0)</f>
        <v>0</v>
      </c>
      <c r="O29" s="403">
        <f>IFERROR(VLOOKUP(B29,DBLH[[tanggal]:[adm]],$O$10,0),0)</f>
        <v>0</v>
      </c>
      <c r="P29" s="403">
        <f>IFERROR(VLOOKUP(B29,DBLH[[tanggal]:[adm]],$P$10,0),0)</f>
        <v>0</v>
      </c>
    </row>
    <row r="30" spans="2:16">
      <c r="B30" s="640">
        <f t="shared" si="1"/>
        <v>43940</v>
      </c>
      <c r="C30" s="641"/>
      <c r="D30" s="403">
        <f ca="1">IFERROR(VLOOKUP(B30,DBLH[[tanggal]:[adm]],$D$10,0),0)</f>
        <v>0</v>
      </c>
      <c r="E30" s="403">
        <f ca="1">IFERROR(VLOOKUP(B30,DBLH[[tanggal]:[adm]],$E$10,0),0)</f>
        <v>0</v>
      </c>
      <c r="F30" s="403">
        <f>IFERROR(VLOOKUP(B30,DBLH[[tanggal]:[adm]],$F$10,0),0)</f>
        <v>0</v>
      </c>
      <c r="G30" s="403">
        <f>IFERROR(VLOOKUP(B30,DBLH[[tanggal]:[adm]],$G$10,0),0)</f>
        <v>0</v>
      </c>
      <c r="H30" s="403">
        <f ca="1">IFERROR(VLOOKUP(B30,DBLH[[tanggal]:[adm]],$H$10,0),0)</f>
        <v>0</v>
      </c>
      <c r="I30" s="403">
        <f ca="1">IFERROR(VLOOKUP(B30,DBLH[[tanggal]:[adm]],$I$10,0),0)</f>
        <v>0</v>
      </c>
      <c r="J30" s="403">
        <f ca="1">IFERROR(VLOOKUP(B30,DBLH[[tanggal]:[adm]],$J$10,0),0)</f>
        <v>0</v>
      </c>
      <c r="K30" s="403">
        <f ca="1">IFERROR(VLOOKUP(B30,DBLH[[tanggal]:[adm]],$K$10,0),0)</f>
        <v>0</v>
      </c>
      <c r="L30" s="403">
        <f>IFERROR(VLOOKUP(B30,DBLH[[tanggal]:[adm]],$L$10,0),0)</f>
        <v>0</v>
      </c>
      <c r="M30" s="403">
        <f>IFERROR(VLOOKUP(B30,DBLH[[tanggal]:[adm]],$M$10,0),0)</f>
        <v>0</v>
      </c>
      <c r="N30" s="403">
        <f>IFERROR(VLOOKUP(B30,DBLH[[tanggal]:[adm]],$N$10,0),0)</f>
        <v>0</v>
      </c>
      <c r="O30" s="403">
        <f>IFERROR(VLOOKUP(B30,DBLH[[tanggal]:[adm]],$O$10,0),0)</f>
        <v>0</v>
      </c>
      <c r="P30" s="403">
        <f>IFERROR(VLOOKUP(B30,DBLH[[tanggal]:[adm]],$P$10,0),0)</f>
        <v>0</v>
      </c>
    </row>
    <row r="31" spans="2:16">
      <c r="B31" s="640">
        <f t="shared" si="1"/>
        <v>43941</v>
      </c>
      <c r="C31" s="641"/>
      <c r="D31" s="403">
        <f ca="1">IFERROR(VLOOKUP(B31,DBLH[[tanggal]:[adm]],$D$10,0),0)</f>
        <v>0</v>
      </c>
      <c r="E31" s="403">
        <f ca="1">IFERROR(VLOOKUP(B31,DBLH[[tanggal]:[adm]],$E$10,0),0)</f>
        <v>0</v>
      </c>
      <c r="F31" s="403">
        <f>IFERROR(VLOOKUP(B31,DBLH[[tanggal]:[adm]],$F$10,0),0)</f>
        <v>0</v>
      </c>
      <c r="G31" s="403">
        <f>IFERROR(VLOOKUP(B31,DBLH[[tanggal]:[adm]],$G$10,0),0)</f>
        <v>0</v>
      </c>
      <c r="H31" s="403">
        <f ca="1">IFERROR(VLOOKUP(B31,DBLH[[tanggal]:[adm]],$H$10,0),0)</f>
        <v>0</v>
      </c>
      <c r="I31" s="403">
        <f ca="1">IFERROR(VLOOKUP(B31,DBLH[[tanggal]:[adm]],$I$10,0),0)</f>
        <v>0</v>
      </c>
      <c r="J31" s="403">
        <f ca="1">IFERROR(VLOOKUP(B31,DBLH[[tanggal]:[adm]],$J$10,0),0)</f>
        <v>0</v>
      </c>
      <c r="K31" s="403">
        <f ca="1">IFERROR(VLOOKUP(B31,DBLH[[tanggal]:[adm]],$K$10,0),0)</f>
        <v>0</v>
      </c>
      <c r="L31" s="403">
        <f>IFERROR(VLOOKUP(B31,DBLH[[tanggal]:[adm]],$L$10,0),0)</f>
        <v>0</v>
      </c>
      <c r="M31" s="403">
        <f>IFERROR(VLOOKUP(B31,DBLH[[tanggal]:[adm]],$M$10,0),0)</f>
        <v>0</v>
      </c>
      <c r="N31" s="403">
        <f>IFERROR(VLOOKUP(B31,DBLH[[tanggal]:[adm]],$N$10,0),0)</f>
        <v>0</v>
      </c>
      <c r="O31" s="403">
        <f>IFERROR(VLOOKUP(B31,DBLH[[tanggal]:[adm]],$O$10,0),0)</f>
        <v>0</v>
      </c>
      <c r="P31" s="403">
        <f>IFERROR(VLOOKUP(B31,DBLH[[tanggal]:[adm]],$P$10,0),0)</f>
        <v>0</v>
      </c>
    </row>
    <row r="32" spans="2:16">
      <c r="B32" s="640">
        <f t="shared" si="1"/>
        <v>43942</v>
      </c>
      <c r="C32" s="641"/>
      <c r="D32" s="403">
        <f ca="1">IFERROR(VLOOKUP(B32,DBLH[[tanggal]:[adm]],$D$10,0),0)</f>
        <v>0</v>
      </c>
      <c r="E32" s="403">
        <f ca="1">IFERROR(VLOOKUP(B32,DBLH[[tanggal]:[adm]],$E$10,0),0)</f>
        <v>0</v>
      </c>
      <c r="F32" s="403">
        <f>IFERROR(VLOOKUP(B32,DBLH[[tanggal]:[adm]],$F$10,0),0)</f>
        <v>0</v>
      </c>
      <c r="G32" s="403">
        <f>IFERROR(VLOOKUP(B32,DBLH[[tanggal]:[adm]],$G$10,0),0)</f>
        <v>0</v>
      </c>
      <c r="H32" s="403">
        <f ca="1">IFERROR(VLOOKUP(B32,DBLH[[tanggal]:[adm]],$H$10,0),0)</f>
        <v>0</v>
      </c>
      <c r="I32" s="403">
        <f ca="1">IFERROR(VLOOKUP(B32,DBLH[[tanggal]:[adm]],$I$10,0),0)</f>
        <v>0</v>
      </c>
      <c r="J32" s="403">
        <f ca="1">IFERROR(VLOOKUP(B32,DBLH[[tanggal]:[adm]],$J$10,0),0)</f>
        <v>0</v>
      </c>
      <c r="K32" s="403">
        <f ca="1">IFERROR(VLOOKUP(B32,DBLH[[tanggal]:[adm]],$K$10,0),0)</f>
        <v>0</v>
      </c>
      <c r="L32" s="403">
        <f>IFERROR(VLOOKUP(B32,DBLH[[tanggal]:[adm]],$L$10,0),0)</f>
        <v>0</v>
      </c>
      <c r="M32" s="403">
        <f>IFERROR(VLOOKUP(B32,DBLH[[tanggal]:[adm]],$M$10,0),0)</f>
        <v>0</v>
      </c>
      <c r="N32" s="403">
        <f>IFERROR(VLOOKUP(B32,DBLH[[tanggal]:[adm]],$N$10,0),0)</f>
        <v>0</v>
      </c>
      <c r="O32" s="403">
        <f>IFERROR(VLOOKUP(B32,DBLH[[tanggal]:[adm]],$O$10,0),0)</f>
        <v>0</v>
      </c>
      <c r="P32" s="403">
        <f>IFERROR(VLOOKUP(B32,DBLH[[tanggal]:[adm]],$P$10,0),0)</f>
        <v>0</v>
      </c>
    </row>
    <row r="33" spans="2:16">
      <c r="B33" s="640">
        <f t="shared" si="1"/>
        <v>43943</v>
      </c>
      <c r="C33" s="641"/>
      <c r="D33" s="403">
        <f ca="1">IFERROR(VLOOKUP(B33,DBLH[[tanggal]:[adm]],$D$10,0),0)</f>
        <v>0</v>
      </c>
      <c r="E33" s="403">
        <f ca="1">IFERROR(VLOOKUP(B33,DBLH[[tanggal]:[adm]],$E$10,0),0)</f>
        <v>0</v>
      </c>
      <c r="F33" s="403">
        <f>IFERROR(VLOOKUP(B33,DBLH[[tanggal]:[adm]],$F$10,0),0)</f>
        <v>0</v>
      </c>
      <c r="G33" s="403">
        <f>IFERROR(VLOOKUP(B33,DBLH[[tanggal]:[adm]],$G$10,0),0)</f>
        <v>0</v>
      </c>
      <c r="H33" s="403">
        <f ca="1">IFERROR(VLOOKUP(B33,DBLH[[tanggal]:[adm]],$H$10,0),0)</f>
        <v>0</v>
      </c>
      <c r="I33" s="403">
        <f ca="1">IFERROR(VLOOKUP(B33,DBLH[[tanggal]:[adm]],$I$10,0),0)</f>
        <v>0</v>
      </c>
      <c r="J33" s="403">
        <f ca="1">IFERROR(VLOOKUP(B33,DBLH[[tanggal]:[adm]],$J$10,0),0)</f>
        <v>0</v>
      </c>
      <c r="K33" s="403">
        <f ca="1">IFERROR(VLOOKUP(B33,DBLH[[tanggal]:[adm]],$K$10,0),0)</f>
        <v>0</v>
      </c>
      <c r="L33" s="403">
        <f>IFERROR(VLOOKUP(B33,DBLH[[tanggal]:[adm]],$L$10,0),0)</f>
        <v>0</v>
      </c>
      <c r="M33" s="403">
        <f>IFERROR(VLOOKUP(B33,DBLH[[tanggal]:[adm]],$M$10,0),0)</f>
        <v>0</v>
      </c>
      <c r="N33" s="403">
        <f>IFERROR(VLOOKUP(B33,DBLH[[tanggal]:[adm]],$N$10,0),0)</f>
        <v>0</v>
      </c>
      <c r="O33" s="403">
        <f>IFERROR(VLOOKUP(B33,DBLH[[tanggal]:[adm]],$O$10,0),0)</f>
        <v>0</v>
      </c>
      <c r="P33" s="403">
        <f>IFERROR(VLOOKUP(B33,DBLH[[tanggal]:[adm]],$P$10,0),0)</f>
        <v>0</v>
      </c>
    </row>
    <row r="34" spans="2:16">
      <c r="B34" s="640">
        <f t="shared" si="1"/>
        <v>43944</v>
      </c>
      <c r="C34" s="641"/>
      <c r="D34" s="403">
        <f ca="1">IFERROR(VLOOKUP(B34,DBLH[[tanggal]:[adm]],$D$10,0),0)</f>
        <v>0</v>
      </c>
      <c r="E34" s="403">
        <f ca="1">IFERROR(VLOOKUP(B34,DBLH[[tanggal]:[adm]],$E$10,0),0)</f>
        <v>0</v>
      </c>
      <c r="F34" s="403">
        <f>IFERROR(VLOOKUP(B34,DBLH[[tanggal]:[adm]],$F$10,0),0)</f>
        <v>0</v>
      </c>
      <c r="G34" s="403">
        <f>IFERROR(VLOOKUP(B34,DBLH[[tanggal]:[adm]],$G$10,0),0)</f>
        <v>0</v>
      </c>
      <c r="H34" s="403">
        <f ca="1">IFERROR(VLOOKUP(B34,DBLH[[tanggal]:[adm]],$H$10,0),0)</f>
        <v>0</v>
      </c>
      <c r="I34" s="403">
        <f ca="1">IFERROR(VLOOKUP(B34,DBLH[[tanggal]:[adm]],$I$10,0),0)</f>
        <v>0</v>
      </c>
      <c r="J34" s="403">
        <f ca="1">IFERROR(VLOOKUP(B34,DBLH[[tanggal]:[adm]],$J$10,0),0)</f>
        <v>0</v>
      </c>
      <c r="K34" s="403">
        <f ca="1">IFERROR(VLOOKUP(B34,DBLH[[tanggal]:[adm]],$K$10,0),0)</f>
        <v>0</v>
      </c>
      <c r="L34" s="403">
        <f>IFERROR(VLOOKUP(B34,DBLH[[tanggal]:[adm]],$L$10,0),0)</f>
        <v>0</v>
      </c>
      <c r="M34" s="403">
        <f>IFERROR(VLOOKUP(B34,DBLH[[tanggal]:[adm]],$M$10,0),0)</f>
        <v>0</v>
      </c>
      <c r="N34" s="403">
        <f>IFERROR(VLOOKUP(B34,DBLH[[tanggal]:[adm]],$N$10,0),0)</f>
        <v>0</v>
      </c>
      <c r="O34" s="403">
        <f>IFERROR(VLOOKUP(B34,DBLH[[tanggal]:[adm]],$O$10,0),0)</f>
        <v>0</v>
      </c>
      <c r="P34" s="403">
        <f>IFERROR(VLOOKUP(B34,DBLH[[tanggal]:[adm]],$P$10,0),0)</f>
        <v>0</v>
      </c>
    </row>
    <row r="35" spans="2:16">
      <c r="B35" s="640">
        <f t="shared" si="1"/>
        <v>43945</v>
      </c>
      <c r="C35" s="641"/>
      <c r="D35" s="403">
        <f ca="1">IFERROR(VLOOKUP(B35,DBLH[[tanggal]:[adm]],$D$10,0),0)</f>
        <v>0</v>
      </c>
      <c r="E35" s="403">
        <f ca="1">IFERROR(VLOOKUP(B35,DBLH[[tanggal]:[adm]],$E$10,0),0)</f>
        <v>0</v>
      </c>
      <c r="F35" s="403">
        <f>IFERROR(VLOOKUP(B35,DBLH[[tanggal]:[adm]],$F$10,0),0)</f>
        <v>0</v>
      </c>
      <c r="G35" s="403">
        <f>IFERROR(VLOOKUP(B35,DBLH[[tanggal]:[adm]],$G$10,0),0)</f>
        <v>0</v>
      </c>
      <c r="H35" s="403">
        <f ca="1">IFERROR(VLOOKUP(B35,DBLH[[tanggal]:[adm]],$H$10,0),0)</f>
        <v>0</v>
      </c>
      <c r="I35" s="403">
        <f ca="1">IFERROR(VLOOKUP(B35,DBLH[[tanggal]:[adm]],$I$10,0),0)</f>
        <v>0</v>
      </c>
      <c r="J35" s="403">
        <f ca="1">IFERROR(VLOOKUP(B35,DBLH[[tanggal]:[adm]],$J$10,0),0)</f>
        <v>0</v>
      </c>
      <c r="K35" s="403">
        <f ca="1">IFERROR(VLOOKUP(B35,DBLH[[tanggal]:[adm]],$K$10,0),0)</f>
        <v>0</v>
      </c>
      <c r="L35" s="403">
        <f>IFERROR(VLOOKUP(B35,DBLH[[tanggal]:[adm]],$L$10,0),0)</f>
        <v>0</v>
      </c>
      <c r="M35" s="403">
        <f>IFERROR(VLOOKUP(B35,DBLH[[tanggal]:[adm]],$M$10,0),0)</f>
        <v>0</v>
      </c>
      <c r="N35" s="403">
        <f>IFERROR(VLOOKUP(B35,DBLH[[tanggal]:[adm]],$N$10,0),0)</f>
        <v>0</v>
      </c>
      <c r="O35" s="403">
        <f>IFERROR(VLOOKUP(B35,DBLH[[tanggal]:[adm]],$O$10,0),0)</f>
        <v>0</v>
      </c>
      <c r="P35" s="403">
        <f>IFERROR(VLOOKUP(B35,DBLH[[tanggal]:[adm]],$P$10,0),0)</f>
        <v>0</v>
      </c>
    </row>
    <row r="36" spans="2:16">
      <c r="B36" s="640">
        <f t="shared" si="1"/>
        <v>43946</v>
      </c>
      <c r="C36" s="641"/>
      <c r="D36" s="403">
        <f ca="1">IFERROR(VLOOKUP(B36,DBLH[[tanggal]:[adm]],$D$10,0),0)</f>
        <v>0</v>
      </c>
      <c r="E36" s="403">
        <f ca="1">IFERROR(VLOOKUP(B36,DBLH[[tanggal]:[adm]],$E$10,0),0)</f>
        <v>0</v>
      </c>
      <c r="F36" s="403">
        <f>IFERROR(VLOOKUP(B36,DBLH[[tanggal]:[adm]],$F$10,0),0)</f>
        <v>0</v>
      </c>
      <c r="G36" s="403">
        <f>IFERROR(VLOOKUP(B36,DBLH[[tanggal]:[adm]],$G$10,0),0)</f>
        <v>0</v>
      </c>
      <c r="H36" s="403">
        <f ca="1">IFERROR(VLOOKUP(B36,DBLH[[tanggal]:[adm]],$H$10,0),0)</f>
        <v>0</v>
      </c>
      <c r="I36" s="403">
        <f ca="1">IFERROR(VLOOKUP(B36,DBLH[[tanggal]:[adm]],$I$10,0),0)</f>
        <v>0</v>
      </c>
      <c r="J36" s="403">
        <f ca="1">IFERROR(VLOOKUP(B36,DBLH[[tanggal]:[adm]],$J$10,0),0)</f>
        <v>0</v>
      </c>
      <c r="K36" s="403">
        <f ca="1">IFERROR(VLOOKUP(B36,DBLH[[tanggal]:[adm]],$K$10,0),0)</f>
        <v>0</v>
      </c>
      <c r="L36" s="403">
        <f>IFERROR(VLOOKUP(B36,DBLH[[tanggal]:[adm]],$L$10,0),0)</f>
        <v>0</v>
      </c>
      <c r="M36" s="403">
        <f>IFERROR(VLOOKUP(B36,DBLH[[tanggal]:[adm]],$M$10,0),0)</f>
        <v>0</v>
      </c>
      <c r="N36" s="403">
        <f>IFERROR(VLOOKUP(B36,DBLH[[tanggal]:[adm]],$N$10,0),0)</f>
        <v>0</v>
      </c>
      <c r="O36" s="403">
        <f>IFERROR(VLOOKUP(B36,DBLH[[tanggal]:[adm]],$O$10,0),0)</f>
        <v>0</v>
      </c>
      <c r="P36" s="403">
        <f>IFERROR(VLOOKUP(B36,DBLH[[tanggal]:[adm]],$P$10,0),0)</f>
        <v>0</v>
      </c>
    </row>
    <row r="37" spans="2:16">
      <c r="B37" s="640">
        <f t="shared" si="1"/>
        <v>43947</v>
      </c>
      <c r="C37" s="641"/>
      <c r="D37" s="403">
        <f ca="1">IFERROR(VLOOKUP(B37,DBLH[[tanggal]:[adm]],$D$10,0),0)</f>
        <v>0</v>
      </c>
      <c r="E37" s="403">
        <f ca="1">IFERROR(VLOOKUP(B37,DBLH[[tanggal]:[adm]],$E$10,0),0)</f>
        <v>0</v>
      </c>
      <c r="F37" s="403">
        <f>IFERROR(VLOOKUP(B37,DBLH[[tanggal]:[adm]],$F$10,0),0)</f>
        <v>0</v>
      </c>
      <c r="G37" s="403">
        <f>IFERROR(VLOOKUP(B37,DBLH[[tanggal]:[adm]],$G$10,0),0)</f>
        <v>0</v>
      </c>
      <c r="H37" s="403">
        <f ca="1">IFERROR(VLOOKUP(B37,DBLH[[tanggal]:[adm]],$H$10,0),0)</f>
        <v>0</v>
      </c>
      <c r="I37" s="403">
        <f ca="1">IFERROR(VLOOKUP(B37,DBLH[[tanggal]:[adm]],$I$10,0),0)</f>
        <v>0</v>
      </c>
      <c r="J37" s="403">
        <f ca="1">IFERROR(VLOOKUP(B37,DBLH[[tanggal]:[adm]],$J$10,0),0)</f>
        <v>0</v>
      </c>
      <c r="K37" s="403">
        <f ca="1">IFERROR(VLOOKUP(B37,DBLH[[tanggal]:[adm]],$K$10,0),0)</f>
        <v>0</v>
      </c>
      <c r="L37" s="403">
        <f>IFERROR(VLOOKUP(B37,DBLH[[tanggal]:[adm]],$L$10,0),0)</f>
        <v>0</v>
      </c>
      <c r="M37" s="403">
        <f>IFERROR(VLOOKUP(B37,DBLH[[tanggal]:[adm]],$M$10,0),0)</f>
        <v>0</v>
      </c>
      <c r="N37" s="403">
        <f>IFERROR(VLOOKUP(B37,DBLH[[tanggal]:[adm]],$N$10,0),0)</f>
        <v>0</v>
      </c>
      <c r="O37" s="403">
        <f>IFERROR(VLOOKUP(B37,DBLH[[tanggal]:[adm]],$O$10,0),0)</f>
        <v>0</v>
      </c>
      <c r="P37" s="403">
        <f>IFERROR(VLOOKUP(B37,DBLH[[tanggal]:[adm]],$P$10,0),0)</f>
        <v>0</v>
      </c>
    </row>
    <row r="38" spans="2:16">
      <c r="B38" s="640">
        <f t="shared" si="1"/>
        <v>43948</v>
      </c>
      <c r="C38" s="641"/>
      <c r="D38" s="403">
        <f ca="1">IFERROR(VLOOKUP(B38,DBLH[[tanggal]:[adm]],$D$10,0),0)</f>
        <v>0</v>
      </c>
      <c r="E38" s="403">
        <f ca="1">IFERROR(VLOOKUP(B38,DBLH[[tanggal]:[adm]],$E$10,0),0)</f>
        <v>0</v>
      </c>
      <c r="F38" s="403">
        <f>IFERROR(VLOOKUP(B38,DBLH[[tanggal]:[adm]],$F$10,0),0)</f>
        <v>0</v>
      </c>
      <c r="G38" s="403">
        <f>IFERROR(VLOOKUP(B38,DBLH[[tanggal]:[adm]],$G$10,0),0)</f>
        <v>0</v>
      </c>
      <c r="H38" s="403">
        <f ca="1">IFERROR(VLOOKUP(B38,DBLH[[tanggal]:[adm]],$H$10,0),0)</f>
        <v>0</v>
      </c>
      <c r="I38" s="403">
        <f ca="1">IFERROR(VLOOKUP(B38,DBLH[[tanggal]:[adm]],$I$10,0),0)</f>
        <v>0</v>
      </c>
      <c r="J38" s="403">
        <f ca="1">IFERROR(VLOOKUP(B38,DBLH[[tanggal]:[adm]],$J$10,0),0)</f>
        <v>0</v>
      </c>
      <c r="K38" s="403">
        <f ca="1">IFERROR(VLOOKUP(B38,DBLH[[tanggal]:[adm]],$K$10,0),0)</f>
        <v>0</v>
      </c>
      <c r="L38" s="403">
        <f>IFERROR(VLOOKUP(B38,DBLH[[tanggal]:[adm]],$L$10,0),0)</f>
        <v>0</v>
      </c>
      <c r="M38" s="403">
        <f>IFERROR(VLOOKUP(B38,DBLH[[tanggal]:[adm]],$M$10,0),0)</f>
        <v>0</v>
      </c>
      <c r="N38" s="403">
        <f>IFERROR(VLOOKUP(B38,DBLH[[tanggal]:[adm]],$N$10,0),0)</f>
        <v>0</v>
      </c>
      <c r="O38" s="403">
        <f>IFERROR(VLOOKUP(B38,DBLH[[tanggal]:[adm]],$O$10,0),0)</f>
        <v>0</v>
      </c>
      <c r="P38" s="403">
        <f>IFERROR(VLOOKUP(B38,DBLH[[tanggal]:[adm]],$P$10,0),0)</f>
        <v>0</v>
      </c>
    </row>
    <row r="39" spans="2:16">
      <c r="B39" s="640">
        <f t="shared" si="1"/>
        <v>43949</v>
      </c>
      <c r="C39" s="641"/>
      <c r="D39" s="403">
        <f ca="1">IFERROR(VLOOKUP(B39,DBLH[[tanggal]:[adm]],$D$10,0),0)</f>
        <v>0</v>
      </c>
      <c r="E39" s="403">
        <f ca="1">IFERROR(VLOOKUP(B39,DBLH[[tanggal]:[adm]],$E$10,0),0)</f>
        <v>0</v>
      </c>
      <c r="F39" s="403">
        <f>IFERROR(VLOOKUP(B39,DBLH[[tanggal]:[adm]],$F$10,0),0)</f>
        <v>0</v>
      </c>
      <c r="G39" s="403">
        <f>IFERROR(VLOOKUP(B39,DBLH[[tanggal]:[adm]],$G$10,0),0)</f>
        <v>0</v>
      </c>
      <c r="H39" s="403">
        <f ca="1">IFERROR(VLOOKUP(B39,DBLH[[tanggal]:[adm]],$H$10,0),0)</f>
        <v>0</v>
      </c>
      <c r="I39" s="403">
        <f ca="1">IFERROR(VLOOKUP(B39,DBLH[[tanggal]:[adm]],$I$10,0),0)</f>
        <v>0</v>
      </c>
      <c r="J39" s="403">
        <f ca="1">IFERROR(VLOOKUP(B39,DBLH[[tanggal]:[adm]],$J$10,0),0)</f>
        <v>0</v>
      </c>
      <c r="K39" s="403">
        <f ca="1">IFERROR(VLOOKUP(B39,DBLH[[tanggal]:[adm]],$K$10,0),0)</f>
        <v>0</v>
      </c>
      <c r="L39" s="403">
        <f>IFERROR(VLOOKUP(B39,DBLH[[tanggal]:[adm]],$L$10,0),0)</f>
        <v>0</v>
      </c>
      <c r="M39" s="403">
        <f>IFERROR(VLOOKUP(B39,DBLH[[tanggal]:[adm]],$M$10,0),0)</f>
        <v>0</v>
      </c>
      <c r="N39" s="403">
        <f>IFERROR(VLOOKUP(B39,DBLH[[tanggal]:[adm]],$N$10,0),0)</f>
        <v>0</v>
      </c>
      <c r="O39" s="403">
        <f>IFERROR(VLOOKUP(B39,DBLH[[tanggal]:[adm]],$O$10,0),0)</f>
        <v>0</v>
      </c>
      <c r="P39" s="403">
        <f>IFERROR(VLOOKUP(B39,DBLH[[tanggal]:[adm]],$P$10,0),0)</f>
        <v>0</v>
      </c>
    </row>
    <row r="40" spans="2:16">
      <c r="B40" s="640">
        <f t="shared" si="1"/>
        <v>43950</v>
      </c>
      <c r="C40" s="641"/>
      <c r="D40" s="403">
        <f ca="1">IFERROR(VLOOKUP(B40,DBLH[[tanggal]:[adm]],$D$10,0),0)</f>
        <v>0</v>
      </c>
      <c r="E40" s="403">
        <f ca="1">IFERROR(VLOOKUP(B40,DBLH[[tanggal]:[adm]],$E$10,0),0)</f>
        <v>0</v>
      </c>
      <c r="F40" s="403">
        <f>IFERROR(VLOOKUP(B40,DBLH[[tanggal]:[adm]],$F$10,0),0)</f>
        <v>0</v>
      </c>
      <c r="G40" s="403">
        <f>IFERROR(VLOOKUP(B40,DBLH[[tanggal]:[adm]],$G$10,0),0)</f>
        <v>0</v>
      </c>
      <c r="H40" s="403">
        <f ca="1">IFERROR(VLOOKUP(B40,DBLH[[tanggal]:[adm]],$H$10,0),0)</f>
        <v>0</v>
      </c>
      <c r="I40" s="403">
        <f ca="1">IFERROR(VLOOKUP(B40,DBLH[[tanggal]:[adm]],$I$10,0),0)</f>
        <v>0</v>
      </c>
      <c r="J40" s="403">
        <f ca="1">IFERROR(VLOOKUP(B40,DBLH[[tanggal]:[adm]],$J$10,0),0)</f>
        <v>0</v>
      </c>
      <c r="K40" s="403">
        <f ca="1">IFERROR(VLOOKUP(B40,DBLH[[tanggal]:[adm]],$K$10,0),0)</f>
        <v>0</v>
      </c>
      <c r="L40" s="403">
        <f>IFERROR(VLOOKUP(B40,DBLH[[tanggal]:[adm]],$L$10,0),0)</f>
        <v>0</v>
      </c>
      <c r="M40" s="403">
        <f>IFERROR(VLOOKUP(B40,DBLH[[tanggal]:[adm]],$M$10,0),0)</f>
        <v>0</v>
      </c>
      <c r="N40" s="403">
        <f>IFERROR(VLOOKUP(B40,DBLH[[tanggal]:[adm]],$N$10,0),0)</f>
        <v>0</v>
      </c>
      <c r="O40" s="403">
        <f>IFERROR(VLOOKUP(B40,DBLH[[tanggal]:[adm]],$O$10,0),0)</f>
        <v>0</v>
      </c>
      <c r="P40" s="403">
        <f>IFERROR(VLOOKUP(B40,DBLH[[tanggal]:[adm]],$P$10,0),0)</f>
        <v>0</v>
      </c>
    </row>
    <row r="41" spans="2:16">
      <c r="B41" s="640">
        <f t="shared" si="1"/>
        <v>43951</v>
      </c>
      <c r="C41" s="641"/>
      <c r="D41" s="403">
        <f ca="1">IFERROR(VLOOKUP(B41,DBLH[[tanggal]:[adm]],$D$10,0),0)</f>
        <v>0</v>
      </c>
      <c r="E41" s="403">
        <f ca="1">IFERROR(VLOOKUP(B41,DBLH[[tanggal]:[adm]],$E$10,0),0)</f>
        <v>0</v>
      </c>
      <c r="F41" s="403">
        <f>IFERROR(VLOOKUP(B41,DBLH[[tanggal]:[adm]],$F$10,0),0)</f>
        <v>0</v>
      </c>
      <c r="G41" s="403">
        <f>IFERROR(VLOOKUP(B41,DBLH[[tanggal]:[adm]],$G$10,0),0)</f>
        <v>0</v>
      </c>
      <c r="H41" s="403">
        <f ca="1">IFERROR(VLOOKUP(B41,DBLH[[tanggal]:[adm]],$H$10,0),0)</f>
        <v>0</v>
      </c>
      <c r="I41" s="403">
        <f ca="1">IFERROR(VLOOKUP(B41,DBLH[[tanggal]:[adm]],$I$10,0),0)</f>
        <v>0</v>
      </c>
      <c r="J41" s="403">
        <f ca="1">IFERROR(VLOOKUP(B41,DBLH[[tanggal]:[adm]],$J$10,0),0)</f>
        <v>0</v>
      </c>
      <c r="K41" s="403">
        <f ca="1">IFERROR(VLOOKUP(B41,DBLH[[tanggal]:[adm]],$K$10,0),0)</f>
        <v>0</v>
      </c>
      <c r="L41" s="403">
        <f>IFERROR(VLOOKUP(B41,DBLH[[tanggal]:[adm]],$L$10,0),0)</f>
        <v>0</v>
      </c>
      <c r="M41" s="403">
        <f>IFERROR(VLOOKUP(B41,DBLH[[tanggal]:[adm]],$M$10,0),0)</f>
        <v>0</v>
      </c>
      <c r="N41" s="403">
        <f>IFERROR(VLOOKUP(B41,DBLH[[tanggal]:[adm]],$N$10,0),0)</f>
        <v>0</v>
      </c>
      <c r="O41" s="403">
        <f>IFERROR(VLOOKUP(B41,DBLH[[tanggal]:[adm]],$O$10,0),0)</f>
        <v>0</v>
      </c>
      <c r="P41" s="403">
        <f>IFERROR(VLOOKUP(B41,DBLH[[tanggal]:[adm]],$P$10,0),0)</f>
        <v>0</v>
      </c>
    </row>
    <row r="42" spans="2:16">
      <c r="B42" s="640" t="str">
        <f t="shared" si="1"/>
        <v/>
      </c>
      <c r="C42" s="641"/>
      <c r="D42" s="404">
        <f>IFERROR(VLOOKUP(B42,DBLH[[tanggal]:[adm]],$D$10,0),0)</f>
        <v>0</v>
      </c>
      <c r="E42" s="404">
        <f>IFERROR(VLOOKUP(B42,DBLH[[tanggal]:[adm]],$E$10,0),0)</f>
        <v>0</v>
      </c>
      <c r="F42" s="404">
        <f>IFERROR(VLOOKUP(B42,DBLH[[tanggal]:[adm]],$F$10,0),0)</f>
        <v>0</v>
      </c>
      <c r="G42" s="404">
        <f>IFERROR(VLOOKUP(B42,DBLH[[tanggal]:[adm]],$G$10,0),0)</f>
        <v>0</v>
      </c>
      <c r="H42" s="404">
        <f>IFERROR(VLOOKUP(B42,DBLH[[tanggal]:[adm]],$H$10,0),0)</f>
        <v>0</v>
      </c>
      <c r="I42" s="404">
        <f>IFERROR(VLOOKUP(B42,DBLH[[tanggal]:[adm]],$I$10,0),0)</f>
        <v>0</v>
      </c>
      <c r="J42" s="404">
        <f>IFERROR(VLOOKUP(B42,DBLH[[tanggal]:[adm]],$J$10,0),0)</f>
        <v>0</v>
      </c>
      <c r="K42" s="404">
        <f>IFERROR(VLOOKUP(B42,DBLH[[tanggal]:[adm]],$K$10,0),0)</f>
        <v>0</v>
      </c>
      <c r="L42" s="404">
        <f>IFERROR(VLOOKUP(B42,DBLH[[tanggal]:[adm]],$L$10,0),0)</f>
        <v>0</v>
      </c>
      <c r="M42" s="404">
        <f>IFERROR(VLOOKUP(B42,DBLH[[tanggal]:[adm]],$M$10,0),0)</f>
        <v>0</v>
      </c>
      <c r="N42" s="404">
        <f>IFERROR(VLOOKUP(B42,DBLH[[tanggal]:[adm]],$N$10,0),0)</f>
        <v>0</v>
      </c>
      <c r="O42" s="404">
        <f>IFERROR(VLOOKUP(B42,DBLH[[tanggal]:[adm]],$O$10,0),0)</f>
        <v>0</v>
      </c>
      <c r="P42" s="404">
        <f>IFERROR(VLOOKUP(B42,DBLH[[tanggal]:[adm]],$P$10,0),0)</f>
        <v>0</v>
      </c>
    </row>
    <row r="43" spans="2:16">
      <c r="B43" s="316"/>
      <c r="C43" s="316"/>
      <c r="D43" s="406"/>
      <c r="E43" s="406"/>
      <c r="F43" s="406"/>
      <c r="G43" s="406"/>
      <c r="H43" s="406"/>
      <c r="I43" s="406"/>
      <c r="J43" s="406"/>
      <c r="K43" s="406"/>
      <c r="L43" s="406"/>
      <c r="M43" s="406"/>
      <c r="N43" s="406"/>
      <c r="O43" s="406"/>
      <c r="P43" s="406"/>
    </row>
    <row r="44" spans="2:16">
      <c r="B44" s="405"/>
      <c r="C44" s="405"/>
      <c r="D44" s="407">
        <f ca="1">SUM(D12:D42)</f>
        <v>0</v>
      </c>
      <c r="E44" s="407">
        <f t="shared" ref="E44:P44" ca="1" si="2">SUM(E12:E42)</f>
        <v>9280</v>
      </c>
      <c r="F44" s="407">
        <f t="shared" si="2"/>
        <v>0</v>
      </c>
      <c r="G44" s="407">
        <f t="shared" si="2"/>
        <v>0</v>
      </c>
      <c r="H44" s="407">
        <f t="shared" ca="1" si="2"/>
        <v>0</v>
      </c>
      <c r="I44" s="407">
        <f t="shared" ca="1" si="2"/>
        <v>0</v>
      </c>
      <c r="J44" s="407">
        <f t="shared" ca="1" si="2"/>
        <v>0</v>
      </c>
      <c r="K44" s="407">
        <f t="shared" ca="1" si="2"/>
        <v>0</v>
      </c>
      <c r="L44" s="407">
        <f t="shared" si="2"/>
        <v>0</v>
      </c>
      <c r="M44" s="407">
        <f t="shared" si="2"/>
        <v>0</v>
      </c>
      <c r="N44" s="407">
        <f t="shared" si="2"/>
        <v>0</v>
      </c>
      <c r="O44" s="407">
        <f t="shared" si="2"/>
        <v>0</v>
      </c>
      <c r="P44" s="407">
        <f t="shared" si="2"/>
        <v>0</v>
      </c>
    </row>
    <row r="45" spans="2:16">
      <c r="B45" s="405"/>
      <c r="C45" s="412"/>
      <c r="D45" s="633">
        <f ca="1">SUM(D44:E44)</f>
        <v>9280</v>
      </c>
      <c r="E45" s="635"/>
      <c r="F45" s="633">
        <f>SUM(F44:G44)</f>
        <v>0</v>
      </c>
      <c r="G45" s="635"/>
      <c r="H45" s="633">
        <f ca="1">SUM(H44:I44)</f>
        <v>0</v>
      </c>
      <c r="I45" s="635"/>
      <c r="J45" s="633">
        <f ca="1">SUM(J44:K44)</f>
        <v>0</v>
      </c>
      <c r="K45" s="635"/>
      <c r="L45" s="407">
        <f>L44</f>
        <v>0</v>
      </c>
      <c r="M45" s="633">
        <f>SUM(M44:N44)</f>
        <v>0</v>
      </c>
      <c r="N45" s="635"/>
      <c r="O45" s="407">
        <f>O44</f>
        <v>0</v>
      </c>
      <c r="P45" s="407">
        <f>P44</f>
        <v>0</v>
      </c>
    </row>
    <row r="46" spans="2:16">
      <c r="B46" s="405"/>
      <c r="C46" s="412"/>
      <c r="D46" s="633">
        <f ca="1">SUM(D45:G45)</f>
        <v>9280</v>
      </c>
      <c r="E46" s="634"/>
      <c r="F46" s="634"/>
      <c r="G46" s="635"/>
      <c r="H46" s="407">
        <f ca="1">SUM(H45:I45)</f>
        <v>0</v>
      </c>
      <c r="I46" s="407"/>
      <c r="J46" s="407">
        <f ca="1">SUM(J44:K44)</f>
        <v>0</v>
      </c>
      <c r="K46" s="407"/>
      <c r="L46" s="407">
        <f>L45</f>
        <v>0</v>
      </c>
      <c r="M46" s="633">
        <f t="shared" ref="M46" si="3">SUM(M45:N45)</f>
        <v>0</v>
      </c>
      <c r="N46" s="635"/>
      <c r="O46" s="407">
        <f>O45</f>
        <v>0</v>
      </c>
      <c r="P46" s="407">
        <f>P45</f>
        <v>0</v>
      </c>
    </row>
    <row r="47" spans="2:16">
      <c r="B47" s="405"/>
      <c r="C47" s="412"/>
      <c r="D47" s="633">
        <f ca="1">SUM(D46:K46)</f>
        <v>9280</v>
      </c>
      <c r="E47" s="634"/>
      <c r="F47" s="634"/>
      <c r="G47" s="634"/>
      <c r="H47" s="634"/>
      <c r="I47" s="634"/>
      <c r="J47" s="634"/>
      <c r="K47" s="635"/>
      <c r="L47" s="633">
        <f>SUM(L46:P46)</f>
        <v>0</v>
      </c>
      <c r="M47" s="634"/>
      <c r="N47" s="634"/>
      <c r="O47" s="634"/>
      <c r="P47" s="635"/>
    </row>
    <row r="48" spans="2:16"/>
    <row r="49" spans="1:17"/>
    <row r="50" spans="1:17"/>
    <row r="51" spans="1:17" ht="20.25">
      <c r="B51" s="421" t="s">
        <v>292</v>
      </c>
      <c r="C51" s="421"/>
      <c r="D51" s="421"/>
      <c r="E51" s="421"/>
      <c r="F51" s="420">
        <v>1</v>
      </c>
      <c r="H51" s="409"/>
      <c r="J51" s="409"/>
    </row>
    <row r="52" spans="1:17">
      <c r="J52" s="409"/>
    </row>
    <row r="53" spans="1:17" ht="23.25">
      <c r="B53" s="410" t="s">
        <v>291</v>
      </c>
      <c r="C53" s="410"/>
      <c r="D53" s="397"/>
      <c r="E53" s="397"/>
      <c r="F53" s="397"/>
      <c r="G53" s="397"/>
      <c r="H53" s="397"/>
      <c r="I53" s="397"/>
      <c r="J53" s="397"/>
      <c r="K53" s="397"/>
      <c r="L53" s="397"/>
      <c r="M53" s="397"/>
      <c r="N53" s="397"/>
      <c r="O53" s="397"/>
      <c r="P53" s="397"/>
    </row>
    <row r="54" spans="1:17" ht="20.25">
      <c r="B54" s="408" t="str">
        <f>"Periode Minggu : "&amp;IF(F51=1,"Pertama","Ke"&amp;VLOOKUP('PER-TANGGAL'!F51,tblTerbilang[],2,0))</f>
        <v>Periode Minggu : Pertama</v>
      </c>
      <c r="C54" s="408"/>
      <c r="D54" s="397"/>
      <c r="E54" s="397"/>
      <c r="F54" s="397"/>
      <c r="G54" s="397"/>
      <c r="H54" s="397"/>
      <c r="I54" s="397"/>
      <c r="J54" s="397"/>
      <c r="K54" s="397"/>
      <c r="L54" s="397"/>
      <c r="M54" s="397"/>
      <c r="N54" s="397"/>
      <c r="O54" s="397"/>
      <c r="P54" s="397"/>
    </row>
    <row r="55" spans="1:17" ht="20.25">
      <c r="B55" s="408" t="str">
        <f>"Tanggal : "&amp;TEXT(DATE($D$2,$G$2,F51*7-7+1),"[$-21]dd mmmm yyyy;@")&amp;" s/d "&amp;TEXT(IF(OR(YEAR(DATE($D$2,$G$2,F51*7))&gt;YEAR(DATE($D$2,$G$2,F51*7-7+1)),MONTH(DATE($D$2,$G$2,F51*7))&gt;MONTH(DATE($D$2,$G$2,F51*7-7+1))),DATE($D$2,$G$2+1,0),DATE($D$2,$G$2,F51*7)),"[$-21]dd mmmm yyyy;@")</f>
        <v>Tanggal : 01 April 2020 s/d 07 April 2020</v>
      </c>
      <c r="C55" s="408"/>
      <c r="D55" s="397"/>
      <c r="E55" s="397"/>
      <c r="F55" s="397"/>
      <c r="G55" s="397"/>
      <c r="H55" s="397"/>
      <c r="I55" s="397"/>
      <c r="J55" s="397"/>
      <c r="K55" s="397"/>
      <c r="L55" s="397"/>
      <c r="M55" s="397"/>
      <c r="N55" s="397"/>
      <c r="O55" s="397"/>
      <c r="P55" s="397"/>
    </row>
    <row r="56" spans="1:17" ht="5.0999999999999996" customHeight="1" thickBot="1"/>
    <row r="57" spans="1:17" ht="13.5" thickTop="1">
      <c r="B57" s="571" t="s">
        <v>121</v>
      </c>
      <c r="C57" s="572"/>
      <c r="D57" s="575" t="s">
        <v>109</v>
      </c>
      <c r="E57" s="576"/>
      <c r="F57" s="576"/>
      <c r="G57" s="576"/>
      <c r="H57" s="576"/>
      <c r="I57" s="576"/>
      <c r="J57" s="576"/>
      <c r="K57" s="577"/>
      <c r="L57" s="560" t="s">
        <v>116</v>
      </c>
      <c r="M57" s="571" t="s">
        <v>117</v>
      </c>
      <c r="N57" s="572"/>
      <c r="O57" s="560" t="s">
        <v>118</v>
      </c>
      <c r="P57" s="563" t="s">
        <v>233</v>
      </c>
    </row>
    <row r="58" spans="1:17">
      <c r="B58" s="638"/>
      <c r="C58" s="639"/>
      <c r="D58" s="569" t="s">
        <v>110</v>
      </c>
      <c r="E58" s="569"/>
      <c r="F58" s="569" t="s">
        <v>113</v>
      </c>
      <c r="G58" s="569"/>
      <c r="H58" s="569" t="s">
        <v>114</v>
      </c>
      <c r="I58" s="569"/>
      <c r="J58" s="569" t="s">
        <v>115</v>
      </c>
      <c r="K58" s="569"/>
      <c r="L58" s="561"/>
      <c r="M58" s="573"/>
      <c r="N58" s="574"/>
      <c r="O58" s="561"/>
      <c r="P58" s="564"/>
    </row>
    <row r="59" spans="1:17">
      <c r="B59" s="573"/>
      <c r="C59" s="574"/>
      <c r="D59" s="370" t="s">
        <v>111</v>
      </c>
      <c r="E59" s="370" t="s">
        <v>112</v>
      </c>
      <c r="F59" s="370" t="s">
        <v>111</v>
      </c>
      <c r="G59" s="370" t="s">
        <v>112</v>
      </c>
      <c r="H59" s="370" t="s">
        <v>111</v>
      </c>
      <c r="I59" s="370" t="s">
        <v>112</v>
      </c>
      <c r="J59" s="370" t="s">
        <v>111</v>
      </c>
      <c r="K59" s="370" t="s">
        <v>112</v>
      </c>
      <c r="L59" s="562"/>
      <c r="M59" s="370" t="s">
        <v>111</v>
      </c>
      <c r="N59" s="370" t="s">
        <v>112</v>
      </c>
      <c r="O59" s="562"/>
      <c r="P59" s="564"/>
    </row>
    <row r="60" spans="1:17">
      <c r="B60" s="413">
        <v>1</v>
      </c>
      <c r="C60" s="414"/>
      <c r="D60" s="401">
        <f>B60+1</f>
        <v>2</v>
      </c>
      <c r="E60" s="401">
        <f t="shared" ref="E60:P60" si="4">D60+1</f>
        <v>3</v>
      </c>
      <c r="F60" s="401">
        <f t="shared" si="4"/>
        <v>4</v>
      </c>
      <c r="G60" s="401">
        <f t="shared" si="4"/>
        <v>5</v>
      </c>
      <c r="H60" s="401">
        <f t="shared" si="4"/>
        <v>6</v>
      </c>
      <c r="I60" s="401">
        <f t="shared" si="4"/>
        <v>7</v>
      </c>
      <c r="J60" s="401">
        <f t="shared" si="4"/>
        <v>8</v>
      </c>
      <c r="K60" s="401">
        <f t="shared" si="4"/>
        <v>9</v>
      </c>
      <c r="L60" s="401">
        <f t="shared" si="4"/>
        <v>10</v>
      </c>
      <c r="M60" s="401">
        <f t="shared" si="4"/>
        <v>11</v>
      </c>
      <c r="N60" s="401">
        <f t="shared" si="4"/>
        <v>12</v>
      </c>
      <c r="O60" s="401">
        <f t="shared" si="4"/>
        <v>13</v>
      </c>
      <c r="P60" s="401">
        <f t="shared" si="4"/>
        <v>14</v>
      </c>
    </row>
    <row r="61" spans="1:17" s="346" customFormat="1" ht="5.0999999999999996" customHeight="1">
      <c r="A61" s="317"/>
      <c r="B61" s="417"/>
      <c r="C61" s="418"/>
      <c r="D61" s="411"/>
      <c r="E61" s="411"/>
      <c r="F61" s="411"/>
      <c r="G61" s="411"/>
      <c r="H61" s="411"/>
      <c r="I61" s="411"/>
      <c r="J61" s="411"/>
      <c r="K61" s="411"/>
      <c r="L61" s="411"/>
      <c r="M61" s="411"/>
      <c r="N61" s="411"/>
      <c r="O61" s="411"/>
      <c r="P61" s="411"/>
      <c r="Q61" s="317"/>
    </row>
    <row r="62" spans="1:17" ht="35.1" customHeight="1">
      <c r="B62" s="640">
        <f>DATE($D$2,$G$2,$F$51*7-7+1)</f>
        <v>43922</v>
      </c>
      <c r="C62" s="641"/>
      <c r="D62" s="402">
        <f ca="1">IFERROR(VLOOKUP(B62,DBLH[[tanggal]:[adm]],$D$10,0),0)</f>
        <v>0</v>
      </c>
      <c r="E62" s="402">
        <f ca="1">IFERROR(VLOOKUP(B62,DBLH[[tanggal]:[adm]],$E$10,0),0)</f>
        <v>6040</v>
      </c>
      <c r="F62" s="402">
        <f>IFERROR(VLOOKUP(B62,DBLH[[tanggal]:[adm]],$F$10,0),0)</f>
        <v>0</v>
      </c>
      <c r="G62" s="402">
        <f>IFERROR(VLOOKUP(B62,DBLH[[tanggal]:[adm]],$G$10,0),0)</f>
        <v>0</v>
      </c>
      <c r="H62" s="402">
        <f ca="1">IFERROR(VLOOKUP(B62,DBLH[[tanggal]:[adm]],$H$10,0),0)</f>
        <v>0</v>
      </c>
      <c r="I62" s="402">
        <f ca="1">IFERROR(VLOOKUP(B62,DBLH[[tanggal]:[adm]],$I$10,0),0)</f>
        <v>0</v>
      </c>
      <c r="J62" s="402">
        <f ca="1">IFERROR(VLOOKUP(B62,DBLH[[tanggal]:[adm]],$J$10,0),0)</f>
        <v>0</v>
      </c>
      <c r="K62" s="402">
        <f ca="1">IFERROR(VLOOKUP(B62,DBLH[[tanggal]:[adm]],$K$10,0),0)</f>
        <v>0</v>
      </c>
      <c r="L62" s="402">
        <f>IFERROR(VLOOKUP(B62,DBLH[[tanggal]:[adm]],$L$10,0),0)</f>
        <v>0</v>
      </c>
      <c r="M62" s="402">
        <f>IFERROR(VLOOKUP(B62,DBLH[[tanggal]:[adm]],$M$10,0),0)</f>
        <v>0</v>
      </c>
      <c r="N62" s="402">
        <f>IFERROR(VLOOKUP(B62,DBLH[[tanggal]:[adm]],$N$10,0),0)</f>
        <v>0</v>
      </c>
      <c r="O62" s="402">
        <f>IFERROR(VLOOKUP(B62,DBLH[[tanggal]:[adm]],$O$10,0),0)</f>
        <v>0</v>
      </c>
      <c r="P62" s="402">
        <f>IFERROR(VLOOKUP(B62,DBLH[[tanggal]:[adm]],$P$10,0),0)</f>
        <v>0</v>
      </c>
    </row>
    <row r="63" spans="1:17" ht="35.1" customHeight="1">
      <c r="B63" s="640">
        <f>B62+1</f>
        <v>43923</v>
      </c>
      <c r="C63" s="641">
        <f t="shared" ref="C63" si="5">IF(MONTH(C62+7)&gt;MONTH(C62),DATE(YEAR(C62),MONTH(C62)+1,0),C62+7)</f>
        <v>7</v>
      </c>
      <c r="D63" s="403">
        <f ca="1">IFERROR(VLOOKUP(B63,DBLH[[tanggal]:[adm]],$D$10,0),0)</f>
        <v>0</v>
      </c>
      <c r="E63" s="403">
        <f ca="1">IFERROR(VLOOKUP(B63,DBLH[[tanggal]:[adm]],$E$10,0),0)</f>
        <v>3240</v>
      </c>
      <c r="F63" s="403">
        <f>IFERROR(VLOOKUP(B63,DBLH[[tanggal]:[adm]],$F$10,0),0)</f>
        <v>0</v>
      </c>
      <c r="G63" s="403">
        <f>IFERROR(VLOOKUP(B63,DBLH[[tanggal]:[adm]],$G$10,0),0)</f>
        <v>0</v>
      </c>
      <c r="H63" s="403">
        <f ca="1">IFERROR(VLOOKUP(B63,DBLH[[tanggal]:[adm]],$H$10,0),0)</f>
        <v>0</v>
      </c>
      <c r="I63" s="403">
        <f ca="1">IFERROR(VLOOKUP(B63,DBLH[[tanggal]:[adm]],$I$10,0),0)</f>
        <v>0</v>
      </c>
      <c r="J63" s="403">
        <f ca="1">IFERROR(VLOOKUP(B63,DBLH[[tanggal]:[adm]],$J$10,0),0)</f>
        <v>0</v>
      </c>
      <c r="K63" s="403">
        <f ca="1">IFERROR(VLOOKUP(B63,DBLH[[tanggal]:[adm]],$K$10,0),0)</f>
        <v>0</v>
      </c>
      <c r="L63" s="403">
        <f>IFERROR(VLOOKUP(B63,DBLH[[tanggal]:[adm]],$L$10,0),0)</f>
        <v>0</v>
      </c>
      <c r="M63" s="403">
        <f>IFERROR(VLOOKUP(B63,DBLH[[tanggal]:[adm]],$M$10,0),0)</f>
        <v>0</v>
      </c>
      <c r="N63" s="403">
        <f>IFERROR(VLOOKUP(B63,DBLH[[tanggal]:[adm]],$N$10,0),0)</f>
        <v>0</v>
      </c>
      <c r="O63" s="403">
        <f>IFERROR(VLOOKUP(B63,DBLH[[tanggal]:[adm]],$O$10,0),0)</f>
        <v>0</v>
      </c>
      <c r="P63" s="403">
        <f>IFERROR(VLOOKUP(B63,DBLH[[tanggal]:[adm]],$P$10,0),0)</f>
        <v>0</v>
      </c>
    </row>
    <row r="64" spans="1:17" ht="35.1" customHeight="1">
      <c r="B64" s="640">
        <f t="shared" ref="B64:B68" si="6">B63+1</f>
        <v>43924</v>
      </c>
      <c r="C64" s="641">
        <f t="shared" ref="C64:C68" si="7">IF(MONTH(C63+7)&gt;MONTH(C63),DATE(YEAR(C63),MONTH(C63)+1,0),C63+7)</f>
        <v>14</v>
      </c>
      <c r="D64" s="403">
        <f ca="1">IFERROR(VLOOKUP(B64,DBLH[[tanggal]:[adm]],$D$10,0),0)</f>
        <v>0</v>
      </c>
      <c r="E64" s="403">
        <f ca="1">IFERROR(VLOOKUP(B64,DBLH[[tanggal]:[adm]],$E$10,0),0)</f>
        <v>0</v>
      </c>
      <c r="F64" s="403">
        <f>IFERROR(VLOOKUP(B64,DBLH[[tanggal]:[adm]],$F$10,0),0)</f>
        <v>0</v>
      </c>
      <c r="G64" s="403">
        <f>IFERROR(VLOOKUP(B64,DBLH[[tanggal]:[adm]],$G$10,0),0)</f>
        <v>0</v>
      </c>
      <c r="H64" s="403">
        <f ca="1">IFERROR(VLOOKUP(B64,DBLH[[tanggal]:[adm]],$H$10,0),0)</f>
        <v>0</v>
      </c>
      <c r="I64" s="403">
        <f ca="1">IFERROR(VLOOKUP(B64,DBLH[[tanggal]:[adm]],$I$10,0),0)</f>
        <v>0</v>
      </c>
      <c r="J64" s="403">
        <f ca="1">IFERROR(VLOOKUP(B64,DBLH[[tanggal]:[adm]],$J$10,0),0)</f>
        <v>0</v>
      </c>
      <c r="K64" s="403">
        <f ca="1">IFERROR(VLOOKUP(B64,DBLH[[tanggal]:[adm]],$K$10,0),0)</f>
        <v>0</v>
      </c>
      <c r="L64" s="403">
        <f>IFERROR(VLOOKUP(B64,DBLH[[tanggal]:[adm]],$L$10,0),0)</f>
        <v>0</v>
      </c>
      <c r="M64" s="403">
        <f>IFERROR(VLOOKUP(B64,DBLH[[tanggal]:[adm]],$M$10,0),0)</f>
        <v>0</v>
      </c>
      <c r="N64" s="403">
        <f>IFERROR(VLOOKUP(B64,DBLH[[tanggal]:[adm]],$N$10,0),0)</f>
        <v>0</v>
      </c>
      <c r="O64" s="403">
        <f>IFERROR(VLOOKUP(B64,DBLH[[tanggal]:[adm]],$O$10,0),0)</f>
        <v>0</v>
      </c>
      <c r="P64" s="403">
        <f>IFERROR(VLOOKUP(B64,DBLH[[tanggal]:[adm]],$P$10,0),0)</f>
        <v>0</v>
      </c>
    </row>
    <row r="65" spans="2:16" ht="35.1" customHeight="1">
      <c r="B65" s="640">
        <f t="shared" si="6"/>
        <v>43925</v>
      </c>
      <c r="C65" s="641">
        <f t="shared" si="7"/>
        <v>21</v>
      </c>
      <c r="D65" s="403">
        <f ca="1">IFERROR(VLOOKUP(B65,DBLH[[tanggal]:[adm]],$D$10,0),0)</f>
        <v>0</v>
      </c>
      <c r="E65" s="403">
        <f ca="1">IFERROR(VLOOKUP(B65,DBLH[[tanggal]:[adm]],$E$10,0),0)</f>
        <v>0</v>
      </c>
      <c r="F65" s="403">
        <f>IFERROR(VLOOKUP(B65,DBLH[[tanggal]:[adm]],$F$10,0),0)</f>
        <v>0</v>
      </c>
      <c r="G65" s="403">
        <f>IFERROR(VLOOKUP(B65,DBLH[[tanggal]:[adm]],$G$10,0),0)</f>
        <v>0</v>
      </c>
      <c r="H65" s="403">
        <f ca="1">IFERROR(VLOOKUP(B65,DBLH[[tanggal]:[adm]],$H$10,0),0)</f>
        <v>0</v>
      </c>
      <c r="I65" s="403">
        <f ca="1">IFERROR(VLOOKUP(B65,DBLH[[tanggal]:[adm]],$I$10,0),0)</f>
        <v>0</v>
      </c>
      <c r="J65" s="403">
        <f ca="1">IFERROR(VLOOKUP(B65,DBLH[[tanggal]:[adm]],$J$10,0),0)</f>
        <v>0</v>
      </c>
      <c r="K65" s="403">
        <f ca="1">IFERROR(VLOOKUP(B65,DBLH[[tanggal]:[adm]],$K$10,0),0)</f>
        <v>0</v>
      </c>
      <c r="L65" s="403">
        <f>IFERROR(VLOOKUP(B65,DBLH[[tanggal]:[adm]],$L$10,0),0)</f>
        <v>0</v>
      </c>
      <c r="M65" s="403">
        <f>IFERROR(VLOOKUP(B65,DBLH[[tanggal]:[adm]],$M$10,0),0)</f>
        <v>0</v>
      </c>
      <c r="N65" s="403">
        <f>IFERROR(VLOOKUP(B65,DBLH[[tanggal]:[adm]],$N$10,0),0)</f>
        <v>0</v>
      </c>
      <c r="O65" s="403">
        <f>IFERROR(VLOOKUP(B65,DBLH[[tanggal]:[adm]],$O$10,0),0)</f>
        <v>0</v>
      </c>
      <c r="P65" s="403">
        <f>IFERROR(VLOOKUP(B65,DBLH[[tanggal]:[adm]],$P$10,0),0)</f>
        <v>0</v>
      </c>
    </row>
    <row r="66" spans="2:16" ht="35.1" customHeight="1">
      <c r="B66" s="640">
        <f t="shared" si="6"/>
        <v>43926</v>
      </c>
      <c r="C66" s="641">
        <f t="shared" si="7"/>
        <v>28</v>
      </c>
      <c r="D66" s="403">
        <f ca="1">IFERROR(VLOOKUP(B66,DBLH[[tanggal]:[adm]],$D$10,0),0)</f>
        <v>0</v>
      </c>
      <c r="E66" s="403">
        <f ca="1">IFERROR(VLOOKUP(B66,DBLH[[tanggal]:[adm]],$E$10,0),0)</f>
        <v>0</v>
      </c>
      <c r="F66" s="403">
        <f>IFERROR(VLOOKUP(B66,DBLH[[tanggal]:[adm]],$F$10,0),0)</f>
        <v>0</v>
      </c>
      <c r="G66" s="403">
        <f>IFERROR(VLOOKUP(B66,DBLH[[tanggal]:[adm]],$G$10,0),0)</f>
        <v>0</v>
      </c>
      <c r="H66" s="403">
        <f ca="1">IFERROR(VLOOKUP(B66,DBLH[[tanggal]:[adm]],$H$10,0),0)</f>
        <v>0</v>
      </c>
      <c r="I66" s="403">
        <f ca="1">IFERROR(VLOOKUP(B66,DBLH[[tanggal]:[adm]],$I$10,0),0)</f>
        <v>0</v>
      </c>
      <c r="J66" s="403">
        <f ca="1">IFERROR(VLOOKUP(B66,DBLH[[tanggal]:[adm]],$J$10,0),0)</f>
        <v>0</v>
      </c>
      <c r="K66" s="403">
        <f ca="1">IFERROR(VLOOKUP(B66,DBLH[[tanggal]:[adm]],$K$10,0),0)</f>
        <v>0</v>
      </c>
      <c r="L66" s="403">
        <f>IFERROR(VLOOKUP(B66,DBLH[[tanggal]:[adm]],$L$10,0),0)</f>
        <v>0</v>
      </c>
      <c r="M66" s="403">
        <f>IFERROR(VLOOKUP(B66,DBLH[[tanggal]:[adm]],$M$10,0),0)</f>
        <v>0</v>
      </c>
      <c r="N66" s="403">
        <f>IFERROR(VLOOKUP(B66,DBLH[[tanggal]:[adm]],$N$10,0),0)</f>
        <v>0</v>
      </c>
      <c r="O66" s="403">
        <f>IFERROR(VLOOKUP(B66,DBLH[[tanggal]:[adm]],$O$10,0),0)</f>
        <v>0</v>
      </c>
      <c r="P66" s="403">
        <f>IFERROR(VLOOKUP(B66,DBLH[[tanggal]:[adm]],$P$10,0),0)</f>
        <v>0</v>
      </c>
    </row>
    <row r="67" spans="2:16" ht="35.1" customHeight="1">
      <c r="B67" s="640">
        <f t="shared" si="6"/>
        <v>43927</v>
      </c>
      <c r="C67" s="641">
        <f t="shared" si="7"/>
        <v>31</v>
      </c>
      <c r="D67" s="403">
        <f ca="1">IFERROR(VLOOKUP(B67,DBLH[[tanggal]:[adm]],$D$10,0),0)</f>
        <v>0</v>
      </c>
      <c r="E67" s="403">
        <f ca="1">IFERROR(VLOOKUP(B67,DBLH[[tanggal]:[adm]],$E$10,0),0)</f>
        <v>0</v>
      </c>
      <c r="F67" s="403">
        <f>IFERROR(VLOOKUP(B67,DBLH[[tanggal]:[adm]],$F$10,0),0)</f>
        <v>0</v>
      </c>
      <c r="G67" s="403">
        <f>IFERROR(VLOOKUP(B67,DBLH[[tanggal]:[adm]],$G$10,0),0)</f>
        <v>0</v>
      </c>
      <c r="H67" s="403">
        <f ca="1">IFERROR(VLOOKUP(B67,DBLH[[tanggal]:[adm]],$H$10,0),0)</f>
        <v>0</v>
      </c>
      <c r="I67" s="403">
        <f ca="1">IFERROR(VLOOKUP(B67,DBLH[[tanggal]:[adm]],$I$10,0),0)</f>
        <v>0</v>
      </c>
      <c r="J67" s="403">
        <f ca="1">IFERROR(VLOOKUP(B67,DBLH[[tanggal]:[adm]],$J$10,0),0)</f>
        <v>0</v>
      </c>
      <c r="K67" s="403">
        <f ca="1">IFERROR(VLOOKUP(B67,DBLH[[tanggal]:[adm]],$K$10,0),0)</f>
        <v>0</v>
      </c>
      <c r="L67" s="403">
        <f>IFERROR(VLOOKUP(B67,DBLH[[tanggal]:[adm]],$L$10,0),0)</f>
        <v>0</v>
      </c>
      <c r="M67" s="403">
        <f>IFERROR(VLOOKUP(B67,DBLH[[tanggal]:[adm]],$M$10,0),0)</f>
        <v>0</v>
      </c>
      <c r="N67" s="403">
        <f>IFERROR(VLOOKUP(B67,DBLH[[tanggal]:[adm]],$N$10,0),0)</f>
        <v>0</v>
      </c>
      <c r="O67" s="403">
        <f>IFERROR(VLOOKUP(B67,DBLH[[tanggal]:[adm]],$O$10,0),0)</f>
        <v>0</v>
      </c>
      <c r="P67" s="403">
        <f>IFERROR(VLOOKUP(B67,DBLH[[tanggal]:[adm]],$P$10,0),0)</f>
        <v>0</v>
      </c>
    </row>
    <row r="68" spans="2:16" ht="35.1" customHeight="1">
      <c r="B68" s="640">
        <f t="shared" si="6"/>
        <v>43928</v>
      </c>
      <c r="C68" s="641">
        <f t="shared" si="7"/>
        <v>31</v>
      </c>
      <c r="D68" s="403">
        <f ca="1">IFERROR(VLOOKUP(B68,DBLH[[tanggal]:[adm]],$D$10,0),0)</f>
        <v>0</v>
      </c>
      <c r="E68" s="403">
        <f ca="1">IFERROR(VLOOKUP(B68,DBLH[[tanggal]:[adm]],$E$10,0),0)</f>
        <v>0</v>
      </c>
      <c r="F68" s="403">
        <f>IFERROR(VLOOKUP(B68,DBLH[[tanggal]:[adm]],$F$10,0),0)</f>
        <v>0</v>
      </c>
      <c r="G68" s="403">
        <f>IFERROR(VLOOKUP(B68,DBLH[[tanggal]:[adm]],$G$10,0),0)</f>
        <v>0</v>
      </c>
      <c r="H68" s="403">
        <f ca="1">IFERROR(VLOOKUP(B68,DBLH[[tanggal]:[adm]],$H$10,0),0)</f>
        <v>0</v>
      </c>
      <c r="I68" s="403">
        <f ca="1">IFERROR(VLOOKUP(B68,DBLH[[tanggal]:[adm]],$I$10,0),0)</f>
        <v>0</v>
      </c>
      <c r="J68" s="403">
        <f ca="1">IFERROR(VLOOKUP(B68,DBLH[[tanggal]:[adm]],$J$10,0),0)</f>
        <v>0</v>
      </c>
      <c r="K68" s="403">
        <f ca="1">IFERROR(VLOOKUP(B68,DBLH[[tanggal]:[adm]],$K$10,0),0)</f>
        <v>0</v>
      </c>
      <c r="L68" s="403">
        <f>IFERROR(VLOOKUP(B68,DBLH[[tanggal]:[adm]],$L$10,0),0)</f>
        <v>0</v>
      </c>
      <c r="M68" s="403">
        <f>IFERROR(VLOOKUP(B68,DBLH[[tanggal]:[adm]],$M$10,0),0)</f>
        <v>0</v>
      </c>
      <c r="N68" s="403">
        <f>IFERROR(VLOOKUP(B68,DBLH[[tanggal]:[adm]],$N$10,0),0)</f>
        <v>0</v>
      </c>
      <c r="O68" s="403">
        <f>IFERROR(VLOOKUP(B68,DBLH[[tanggal]:[adm]],$O$10,0),0)</f>
        <v>0</v>
      </c>
      <c r="P68" s="403">
        <f>IFERROR(VLOOKUP(B68,DBLH[[tanggal]:[adm]],$P$10,0),0)</f>
        <v>0</v>
      </c>
    </row>
    <row r="69" spans="2:16" ht="9.9499999999999993" customHeight="1">
      <c r="B69" s="316"/>
      <c r="C69" s="316"/>
      <c r="D69" s="406"/>
      <c r="E69" s="406"/>
      <c r="F69" s="406"/>
      <c r="G69" s="406"/>
      <c r="H69" s="406"/>
      <c r="I69" s="406"/>
      <c r="J69" s="406"/>
      <c r="K69" s="406"/>
      <c r="L69" s="406"/>
      <c r="M69" s="406"/>
      <c r="N69" s="406"/>
      <c r="O69" s="406"/>
      <c r="P69" s="406"/>
    </row>
    <row r="70" spans="2:16" ht="19.5" customHeight="1">
      <c r="B70" s="405"/>
      <c r="C70" s="405"/>
      <c r="D70" s="407">
        <f t="shared" ref="D70:P70" ca="1" si="8">SUM(D62:D68)</f>
        <v>0</v>
      </c>
      <c r="E70" s="407">
        <f t="shared" ca="1" si="8"/>
        <v>9280</v>
      </c>
      <c r="F70" s="407">
        <f t="shared" si="8"/>
        <v>0</v>
      </c>
      <c r="G70" s="407">
        <f t="shared" si="8"/>
        <v>0</v>
      </c>
      <c r="H70" s="407">
        <f t="shared" ca="1" si="8"/>
        <v>0</v>
      </c>
      <c r="I70" s="407">
        <f t="shared" ca="1" si="8"/>
        <v>0</v>
      </c>
      <c r="J70" s="407">
        <f t="shared" ca="1" si="8"/>
        <v>0</v>
      </c>
      <c r="K70" s="407">
        <f t="shared" ca="1" si="8"/>
        <v>0</v>
      </c>
      <c r="L70" s="407">
        <f t="shared" si="8"/>
        <v>0</v>
      </c>
      <c r="M70" s="407">
        <f t="shared" si="8"/>
        <v>0</v>
      </c>
      <c r="N70" s="407">
        <f t="shared" si="8"/>
        <v>0</v>
      </c>
      <c r="O70" s="407">
        <f t="shared" si="8"/>
        <v>0</v>
      </c>
      <c r="P70" s="407">
        <f t="shared" si="8"/>
        <v>0</v>
      </c>
    </row>
    <row r="71" spans="2:16" ht="19.5" customHeight="1">
      <c r="B71" s="405"/>
      <c r="C71" s="412"/>
      <c r="D71" s="633">
        <f ca="1">SUM(D70:E70)</f>
        <v>9280</v>
      </c>
      <c r="E71" s="635"/>
      <c r="F71" s="633">
        <f>SUM(F70:G70)</f>
        <v>0</v>
      </c>
      <c r="G71" s="635"/>
      <c r="H71" s="633">
        <f ca="1">SUM(H70:I70)</f>
        <v>0</v>
      </c>
      <c r="I71" s="635"/>
      <c r="J71" s="633">
        <f ca="1">SUM(J70:K70)</f>
        <v>0</v>
      </c>
      <c r="K71" s="635"/>
      <c r="L71" s="407">
        <f>L70</f>
        <v>0</v>
      </c>
      <c r="M71" s="633">
        <f>SUM(M70:N70)</f>
        <v>0</v>
      </c>
      <c r="N71" s="635"/>
      <c r="O71" s="407">
        <f>O70</f>
        <v>0</v>
      </c>
      <c r="P71" s="407">
        <f>P70</f>
        <v>0</v>
      </c>
    </row>
    <row r="72" spans="2:16" ht="19.5" customHeight="1">
      <c r="B72" s="405"/>
      <c r="C72" s="412"/>
      <c r="D72" s="633">
        <f ca="1">SUM(D71:G71)</f>
        <v>9280</v>
      </c>
      <c r="E72" s="634"/>
      <c r="F72" s="634"/>
      <c r="G72" s="635"/>
      <c r="H72" s="407">
        <f ca="1">SUM(H71:I71)</f>
        <v>0</v>
      </c>
      <c r="I72" s="407"/>
      <c r="J72" s="407">
        <f ca="1">SUM(J70:K70)</f>
        <v>0</v>
      </c>
      <c r="K72" s="407"/>
      <c r="L72" s="407">
        <f>L71</f>
        <v>0</v>
      </c>
      <c r="M72" s="633">
        <f t="shared" ref="M72" si="9">SUM(M71:N71)</f>
        <v>0</v>
      </c>
      <c r="N72" s="635"/>
      <c r="O72" s="407">
        <f>O71</f>
        <v>0</v>
      </c>
      <c r="P72" s="407">
        <f>P71</f>
        <v>0</v>
      </c>
    </row>
    <row r="73" spans="2:16" ht="19.5" customHeight="1">
      <c r="B73" s="405"/>
      <c r="C73" s="412"/>
      <c r="D73" s="633">
        <f ca="1">SUM(D72:K72)</f>
        <v>9280</v>
      </c>
      <c r="E73" s="634"/>
      <c r="F73" s="634"/>
      <c r="G73" s="634"/>
      <c r="H73" s="634"/>
      <c r="I73" s="634"/>
      <c r="J73" s="634"/>
      <c r="K73" s="635"/>
      <c r="L73" s="633">
        <f>SUM(L72:P72)</f>
        <v>0</v>
      </c>
      <c r="M73" s="634"/>
      <c r="N73" s="634"/>
      <c r="O73" s="634"/>
      <c r="P73" s="635"/>
    </row>
    <row r="74" spans="2:16"/>
    <row r="75" spans="2:16"/>
    <row r="76" spans="2:16" ht="23.25">
      <c r="B76" s="410" t="s">
        <v>291</v>
      </c>
      <c r="C76" s="410"/>
      <c r="D76" s="397"/>
      <c r="E76" s="397"/>
      <c r="F76" s="397"/>
      <c r="G76" s="397"/>
      <c r="H76" s="397"/>
      <c r="I76" s="397"/>
      <c r="J76" s="397"/>
      <c r="K76" s="397"/>
      <c r="L76" s="397"/>
      <c r="M76" s="397"/>
      <c r="N76" s="397"/>
      <c r="O76" s="397"/>
      <c r="P76" s="397"/>
    </row>
    <row r="77" spans="2:16" ht="20.25">
      <c r="B77" s="408" t="str">
        <f>"Perminggu tanggal: "&amp;TEXT(DATE($D$2,$G$2,$K$2),"[$-21]dd mmmm yyyy;@")&amp;" s/d "&amp;TEXT(DATE($D$2,$G$2+1,0),"[$-21]dd mmmm yyyy;@")</f>
        <v>Perminggu tanggal: 01 April 2020 s/d 30 April 2020</v>
      </c>
      <c r="C77" s="408"/>
      <c r="D77" s="397"/>
      <c r="E77" s="397"/>
      <c r="F77" s="397"/>
      <c r="G77" s="397"/>
      <c r="H77" s="397"/>
      <c r="I77" s="397"/>
      <c r="J77" s="397"/>
      <c r="K77" s="397"/>
      <c r="L77" s="397"/>
      <c r="M77" s="397"/>
      <c r="N77" s="397"/>
      <c r="O77" s="397"/>
      <c r="P77" s="397"/>
    </row>
    <row r="78" spans="2:16" ht="13.5" thickBot="1"/>
    <row r="79" spans="2:16" ht="13.5" thickTop="1">
      <c r="B79" s="571" t="s">
        <v>121</v>
      </c>
      <c r="C79" s="572"/>
      <c r="D79" s="575" t="s">
        <v>109</v>
      </c>
      <c r="E79" s="576"/>
      <c r="F79" s="576"/>
      <c r="G79" s="576"/>
      <c r="H79" s="576"/>
      <c r="I79" s="576"/>
      <c r="J79" s="576"/>
      <c r="K79" s="577"/>
      <c r="L79" s="560" t="s">
        <v>116</v>
      </c>
      <c r="M79" s="571" t="s">
        <v>117</v>
      </c>
      <c r="N79" s="572"/>
      <c r="O79" s="560" t="s">
        <v>118</v>
      </c>
      <c r="P79" s="563" t="s">
        <v>233</v>
      </c>
    </row>
    <row r="80" spans="2:16">
      <c r="B80" s="638"/>
      <c r="C80" s="639"/>
      <c r="D80" s="569" t="s">
        <v>110</v>
      </c>
      <c r="E80" s="569"/>
      <c r="F80" s="569" t="s">
        <v>113</v>
      </c>
      <c r="G80" s="569"/>
      <c r="H80" s="569" t="s">
        <v>114</v>
      </c>
      <c r="I80" s="569"/>
      <c r="J80" s="569" t="s">
        <v>115</v>
      </c>
      <c r="K80" s="569"/>
      <c r="L80" s="561"/>
      <c r="M80" s="573"/>
      <c r="N80" s="574"/>
      <c r="O80" s="561"/>
      <c r="P80" s="564"/>
    </row>
    <row r="81" spans="1:17">
      <c r="B81" s="573"/>
      <c r="C81" s="574"/>
      <c r="D81" s="370" t="s">
        <v>111</v>
      </c>
      <c r="E81" s="370" t="s">
        <v>112</v>
      </c>
      <c r="F81" s="370" t="s">
        <v>111</v>
      </c>
      <c r="G81" s="370" t="s">
        <v>112</v>
      </c>
      <c r="H81" s="370" t="s">
        <v>111</v>
      </c>
      <c r="I81" s="370" t="s">
        <v>112</v>
      </c>
      <c r="J81" s="370" t="s">
        <v>111</v>
      </c>
      <c r="K81" s="370" t="s">
        <v>112</v>
      </c>
      <c r="L81" s="562"/>
      <c r="M81" s="370" t="s">
        <v>111</v>
      </c>
      <c r="N81" s="370" t="s">
        <v>112</v>
      </c>
      <c r="O81" s="562"/>
      <c r="P81" s="564"/>
    </row>
    <row r="82" spans="1:17">
      <c r="B82" s="401">
        <v>1</v>
      </c>
      <c r="C82" s="401">
        <v>2</v>
      </c>
      <c r="D82" s="401">
        <v>3</v>
      </c>
      <c r="E82" s="401">
        <v>4</v>
      </c>
      <c r="F82" s="401">
        <v>5</v>
      </c>
      <c r="G82" s="401">
        <v>6</v>
      </c>
      <c r="H82" s="401">
        <v>7</v>
      </c>
      <c r="I82" s="401">
        <v>8</v>
      </c>
      <c r="J82" s="401">
        <v>9</v>
      </c>
      <c r="K82" s="401">
        <v>10</v>
      </c>
      <c r="L82" s="401">
        <v>11</v>
      </c>
      <c r="M82" s="401">
        <v>12</v>
      </c>
      <c r="N82" s="401">
        <v>13</v>
      </c>
      <c r="O82" s="401">
        <v>14</v>
      </c>
      <c r="P82" s="401">
        <v>15</v>
      </c>
    </row>
    <row r="83" spans="1:17" s="346" customFormat="1" ht="8.25" customHeight="1">
      <c r="A83" s="317"/>
      <c r="B83" s="411"/>
      <c r="C83" s="411"/>
      <c r="D83" s="411"/>
      <c r="E83" s="411"/>
      <c r="F83" s="411"/>
      <c r="G83" s="411"/>
      <c r="H83" s="411"/>
      <c r="I83" s="411"/>
      <c r="J83" s="411"/>
      <c r="K83" s="411"/>
      <c r="L83" s="411"/>
      <c r="M83" s="411"/>
      <c r="N83" s="411"/>
      <c r="O83" s="411"/>
      <c r="P83" s="411"/>
      <c r="Q83" s="317"/>
    </row>
    <row r="84" spans="1:17" ht="35.1" customHeight="1">
      <c r="A84" s="396"/>
      <c r="B84" s="415">
        <f>DATE($D$2,$G$2,$K$2)</f>
        <v>43922</v>
      </c>
      <c r="C84" s="415">
        <f t="shared" ref="C84:C87" si="10">IF(OR(YEAR(B84+6)&gt;YEAR(B84),MONTH(B84+6)&gt;MONTH(B84)),DATE(YEAR(B84),MONTH(B84)+1,0),B84+6)</f>
        <v>43928</v>
      </c>
      <c r="D84" s="402">
        <f ca="1">IFERROR(SUMIFS($D$12:$D$42,$B$12:$B$42,"&gt;="&amp;B84,$B$12:$B$42,"&lt;="&amp;C84),0)</f>
        <v>0</v>
      </c>
      <c r="E84" s="402">
        <f ca="1">IFERROR(SUMIFS($E$12:$E$42,$B$12:$B$42,"&gt;="&amp;B84,$B$12:$B$42,"&lt;="&amp;C84),0)</f>
        <v>9280</v>
      </c>
      <c r="F84" s="402">
        <f>IFERROR(SUMIFS($F$12:$F$42,$B$12:$B$42,"&gt;="&amp;B84,$B$12:$B$42,"&lt;="&amp;C84),0)</f>
        <v>0</v>
      </c>
      <c r="G84" s="402">
        <f>IFERROR(SUMIFS($G$12:$G$42,$B$12:$B$42,"&gt;="&amp;B84,$B$12:$B$42,"&lt;="&amp;C84),0)</f>
        <v>0</v>
      </c>
      <c r="H84" s="402">
        <f ca="1">IFERROR(SUMIFS($H$12:$H$42,$B$12:$B$42,"&gt;="&amp;B84,$B$12:$B$42,"&lt;="&amp;C84),0)</f>
        <v>0</v>
      </c>
      <c r="I84" s="402">
        <f ca="1">IFERROR(SUMIFS($I$12:$I$42,$B$12:$B$42,"&gt;="&amp;B84,$B$12:$B$42,"&lt;="&amp;C84),0)</f>
        <v>0</v>
      </c>
      <c r="J84" s="402">
        <f ca="1">IFERROR(SUMIFS($J$12:$J$42,$B$12:$B$42,"&gt;="&amp;B84,$B$12:$B$42,"&lt;="&amp;C84),0)</f>
        <v>0</v>
      </c>
      <c r="K84" s="402">
        <f ca="1">IFERROR(SUMIFS($K$12:$K$42,$B$12:$B$42,"&gt;="&amp;B84,$B$12:$B$42,"&lt;="&amp;C84),0)</f>
        <v>0</v>
      </c>
      <c r="L84" s="402">
        <f>IFERROR(SUMIFS($L$12:$L$42,$B$12:$B$42,"&gt;="&amp;B84,$B$12:$B$42,"&lt;="&amp;C84),0)</f>
        <v>0</v>
      </c>
      <c r="M84" s="402">
        <f>IFERROR(SUMIFS($M$12:$M$42,$B$12:$B$42,"&gt;="&amp;B84,$B$12:$B$42,"&lt;="&amp;C84),0)</f>
        <v>0</v>
      </c>
      <c r="N84" s="402">
        <f>IFERROR(SUMIFS($N$12:$N$42,$B$12:$B$42,"&gt;="&amp;B84,$B$12:$B$42,"&lt;="&amp;C84),0)</f>
        <v>0</v>
      </c>
      <c r="O84" s="402">
        <f>IFERROR(SUMIFS($O$12:$O$42,$B$12:$B$42,"&gt;="&amp;B84,$B$12:$B$42,"&lt;="&amp;C84),0)</f>
        <v>0</v>
      </c>
      <c r="P84" s="402">
        <f>IFERROR(SUMIFS($P$12:$P$42,$B$12:$B$42,"&gt;="&amp;B84,$B$12:$B$42,"&lt;="&amp;C84),0)</f>
        <v>0</v>
      </c>
    </row>
    <row r="85" spans="1:17" ht="35.1" customHeight="1">
      <c r="A85" s="419"/>
      <c r="B85" s="415">
        <f>IF(MONTH(B84+7)&gt;MONTH(B84),DATE(YEAR(B84),MONTH(B84)+1,0),B84+7)</f>
        <v>43929</v>
      </c>
      <c r="C85" s="415">
        <f t="shared" si="10"/>
        <v>43935</v>
      </c>
      <c r="D85" s="403">
        <f ca="1">IFERROR(SUMIFS($D$12:$D$42,$B$12:$B$42,"&gt;="&amp;B85,$B$12:$B$42,"&lt;="&amp;C85),0)</f>
        <v>0</v>
      </c>
      <c r="E85" s="403">
        <f t="shared" ref="E85:E88" ca="1" si="11">IFERROR(SUMIFS($E$12:$E$42,$B$12:$B$42,"&gt;="&amp;B85,$B$12:$B$42,"&lt;="&amp;C85),0)</f>
        <v>0</v>
      </c>
      <c r="F85" s="403">
        <f t="shared" ref="F85:F88" si="12">IFERROR(SUMIFS($F$12:$F$42,$B$12:$B$42,"&gt;="&amp;B85,$B$12:$B$42,"&lt;="&amp;C85),0)</f>
        <v>0</v>
      </c>
      <c r="G85" s="403">
        <f t="shared" ref="G85:G88" si="13">IFERROR(SUMIFS($G$12:$G$42,$B$12:$B$42,"&gt;="&amp;B85,$B$12:$B$42,"&lt;="&amp;C85),0)</f>
        <v>0</v>
      </c>
      <c r="H85" s="403">
        <f t="shared" ref="H85:H88" ca="1" si="14">IFERROR(SUMIFS($H$12:$H$42,$B$12:$B$42,"&gt;="&amp;B85,$B$12:$B$42,"&lt;="&amp;C85),0)</f>
        <v>0</v>
      </c>
      <c r="I85" s="403">
        <f t="shared" ref="I85:I88" ca="1" si="15">IFERROR(SUMIFS($I$12:$I$42,$B$12:$B$42,"&gt;="&amp;B85,$B$12:$B$42,"&lt;="&amp;C85),0)</f>
        <v>0</v>
      </c>
      <c r="J85" s="403">
        <f t="shared" ref="J85:J88" ca="1" si="16">IFERROR(SUMIFS($J$12:$J$42,$B$12:$B$42,"&gt;="&amp;B85,$B$12:$B$42,"&lt;="&amp;C85),0)</f>
        <v>0</v>
      </c>
      <c r="K85" s="403">
        <f t="shared" ref="K85:K88" ca="1" si="17">IFERROR(SUMIFS($K$12:$K$42,$B$12:$B$42,"&gt;="&amp;B85,$B$12:$B$42,"&lt;="&amp;C85),0)</f>
        <v>0</v>
      </c>
      <c r="L85" s="403">
        <f t="shared" ref="L85:L88" si="18">IFERROR(SUMIFS($L$12:$L$42,$B$12:$B$42,"&gt;="&amp;B85,$B$12:$B$42,"&lt;="&amp;C85),0)</f>
        <v>0</v>
      </c>
      <c r="M85" s="403">
        <f t="shared" ref="M85:M88" si="19">IFERROR(SUMIFS($M$12:$M$42,$B$12:$B$42,"&gt;="&amp;B85,$B$12:$B$42,"&lt;="&amp;C85),0)</f>
        <v>0</v>
      </c>
      <c r="N85" s="403">
        <f t="shared" ref="N85:N88" si="20">IFERROR(SUMIFS($N$12:$N$42,$B$12:$B$42,"&gt;="&amp;B85,$B$12:$B$42,"&lt;="&amp;C85),0)</f>
        <v>0</v>
      </c>
      <c r="O85" s="403">
        <f t="shared" ref="O85:O88" si="21">IFERROR(SUMIFS($O$12:$O$42,$B$12:$B$42,"&gt;="&amp;B85,$B$12:$B$42,"&lt;="&amp;C85),0)</f>
        <v>0</v>
      </c>
      <c r="P85" s="403">
        <f t="shared" ref="P85:P88" si="22">IFERROR(SUMIFS($P$12:$P$42,$B$12:$B$42,"&gt;="&amp;B85,$B$12:$B$42,"&lt;="&amp;C85),0)</f>
        <v>0</v>
      </c>
    </row>
    <row r="86" spans="1:17" ht="35.1" customHeight="1">
      <c r="A86" s="416"/>
      <c r="B86" s="415">
        <f t="shared" ref="B86:B87" si="23">IF(MONTH(B85+7)&gt;MONTH(B85),DATE(YEAR(B85),MONTH(B85)+1,0),B85+7)</f>
        <v>43936</v>
      </c>
      <c r="C86" s="415">
        <f t="shared" si="10"/>
        <v>43942</v>
      </c>
      <c r="D86" s="403">
        <f t="shared" ref="D86:D88" ca="1" si="24">IFERROR(SUMIFS($D$12:$D$42,$B$12:$B$42,"&gt;="&amp;B86,$B$12:$B$42,"&lt;="&amp;C86),0)</f>
        <v>0</v>
      </c>
      <c r="E86" s="403">
        <f t="shared" ca="1" si="11"/>
        <v>0</v>
      </c>
      <c r="F86" s="403">
        <f t="shared" si="12"/>
        <v>0</v>
      </c>
      <c r="G86" s="403">
        <f t="shared" si="13"/>
        <v>0</v>
      </c>
      <c r="H86" s="403">
        <f t="shared" ca="1" si="14"/>
        <v>0</v>
      </c>
      <c r="I86" s="403">
        <f t="shared" ca="1" si="15"/>
        <v>0</v>
      </c>
      <c r="J86" s="403">
        <f t="shared" ca="1" si="16"/>
        <v>0</v>
      </c>
      <c r="K86" s="403">
        <f t="shared" ca="1" si="17"/>
        <v>0</v>
      </c>
      <c r="L86" s="403">
        <f t="shared" si="18"/>
        <v>0</v>
      </c>
      <c r="M86" s="403">
        <f t="shared" si="19"/>
        <v>0</v>
      </c>
      <c r="N86" s="403">
        <f t="shared" si="20"/>
        <v>0</v>
      </c>
      <c r="O86" s="403">
        <f t="shared" si="21"/>
        <v>0</v>
      </c>
      <c r="P86" s="403">
        <f t="shared" si="22"/>
        <v>0</v>
      </c>
    </row>
    <row r="87" spans="1:17" ht="35.1" customHeight="1">
      <c r="A87" s="416"/>
      <c r="B87" s="415">
        <f t="shared" si="23"/>
        <v>43943</v>
      </c>
      <c r="C87" s="415">
        <f t="shared" si="10"/>
        <v>43949</v>
      </c>
      <c r="D87" s="403">
        <f t="shared" ca="1" si="24"/>
        <v>0</v>
      </c>
      <c r="E87" s="403">
        <f t="shared" ca="1" si="11"/>
        <v>0</v>
      </c>
      <c r="F87" s="403">
        <f t="shared" si="12"/>
        <v>0</v>
      </c>
      <c r="G87" s="403">
        <f t="shared" si="13"/>
        <v>0</v>
      </c>
      <c r="H87" s="403">
        <f t="shared" ca="1" si="14"/>
        <v>0</v>
      </c>
      <c r="I87" s="403">
        <f t="shared" ca="1" si="15"/>
        <v>0</v>
      </c>
      <c r="J87" s="403">
        <f t="shared" ca="1" si="16"/>
        <v>0</v>
      </c>
      <c r="K87" s="403">
        <f t="shared" ca="1" si="17"/>
        <v>0</v>
      </c>
      <c r="L87" s="403">
        <f t="shared" si="18"/>
        <v>0</v>
      </c>
      <c r="M87" s="403">
        <f t="shared" si="19"/>
        <v>0</v>
      </c>
      <c r="N87" s="403">
        <f t="shared" si="20"/>
        <v>0</v>
      </c>
      <c r="O87" s="403">
        <f t="shared" si="21"/>
        <v>0</v>
      </c>
      <c r="P87" s="403">
        <f t="shared" si="22"/>
        <v>0</v>
      </c>
    </row>
    <row r="88" spans="1:17" ht="35.1" customHeight="1">
      <c r="B88" s="415">
        <f>IF(MONTH(B87+7)&gt;MONTH(B87),DATE(YEAR(B87),MONTH(B87)+1,0),B87+7)</f>
        <v>43950</v>
      </c>
      <c r="C88" s="415">
        <f>IF(OR(YEAR(B88+6)&gt;YEAR(B88),MONTH(B88+6)&gt;MONTH(B88)),DATE(YEAR(B88),MONTH(B88)+1,0),B88+6)</f>
        <v>43951</v>
      </c>
      <c r="D88" s="403">
        <f t="shared" ca="1" si="24"/>
        <v>0</v>
      </c>
      <c r="E88" s="403">
        <f t="shared" ca="1" si="11"/>
        <v>0</v>
      </c>
      <c r="F88" s="403">
        <f t="shared" si="12"/>
        <v>0</v>
      </c>
      <c r="G88" s="403">
        <f t="shared" si="13"/>
        <v>0</v>
      </c>
      <c r="H88" s="403">
        <f t="shared" ca="1" si="14"/>
        <v>0</v>
      </c>
      <c r="I88" s="403">
        <f t="shared" ca="1" si="15"/>
        <v>0</v>
      </c>
      <c r="J88" s="403">
        <f t="shared" ca="1" si="16"/>
        <v>0</v>
      </c>
      <c r="K88" s="403">
        <f t="shared" ca="1" si="17"/>
        <v>0</v>
      </c>
      <c r="L88" s="403">
        <f t="shared" si="18"/>
        <v>0</v>
      </c>
      <c r="M88" s="403">
        <f t="shared" si="19"/>
        <v>0</v>
      </c>
      <c r="N88" s="403">
        <f t="shared" si="20"/>
        <v>0</v>
      </c>
      <c r="O88" s="403">
        <f t="shared" si="21"/>
        <v>0</v>
      </c>
      <c r="P88" s="403">
        <f t="shared" si="22"/>
        <v>0</v>
      </c>
    </row>
    <row r="89" spans="1:17">
      <c r="B89" s="316"/>
      <c r="C89" s="316"/>
      <c r="D89" s="406"/>
      <c r="E89" s="406"/>
      <c r="F89" s="406"/>
      <c r="G89" s="406"/>
      <c r="H89" s="406"/>
      <c r="I89" s="406"/>
      <c r="J89" s="406"/>
      <c r="K89" s="406"/>
      <c r="L89" s="406"/>
      <c r="M89" s="406"/>
      <c r="N89" s="406"/>
      <c r="O89" s="406"/>
      <c r="P89" s="406"/>
    </row>
    <row r="90" spans="1:17" ht="35.1" customHeight="1">
      <c r="B90" s="405"/>
      <c r="C90" s="405"/>
      <c r="D90" s="407">
        <f t="shared" ref="D90:P90" ca="1" si="25">SUM(D84:D88)</f>
        <v>0</v>
      </c>
      <c r="E90" s="407">
        <f t="shared" ca="1" si="25"/>
        <v>9280</v>
      </c>
      <c r="F90" s="407">
        <f t="shared" si="25"/>
        <v>0</v>
      </c>
      <c r="G90" s="407">
        <f t="shared" si="25"/>
        <v>0</v>
      </c>
      <c r="H90" s="407">
        <f t="shared" ca="1" si="25"/>
        <v>0</v>
      </c>
      <c r="I90" s="407">
        <f t="shared" ca="1" si="25"/>
        <v>0</v>
      </c>
      <c r="J90" s="407">
        <f t="shared" ca="1" si="25"/>
        <v>0</v>
      </c>
      <c r="K90" s="407">
        <f t="shared" ca="1" si="25"/>
        <v>0</v>
      </c>
      <c r="L90" s="407">
        <f t="shared" si="25"/>
        <v>0</v>
      </c>
      <c r="M90" s="407">
        <f t="shared" si="25"/>
        <v>0</v>
      </c>
      <c r="N90" s="407">
        <f t="shared" si="25"/>
        <v>0</v>
      </c>
      <c r="O90" s="407">
        <f t="shared" si="25"/>
        <v>0</v>
      </c>
      <c r="P90" s="407">
        <f t="shared" si="25"/>
        <v>0</v>
      </c>
    </row>
    <row r="91" spans="1:17" ht="35.1" customHeight="1">
      <c r="B91" s="405"/>
      <c r="C91" s="412"/>
      <c r="D91" s="633">
        <f ca="1">SUM(D90:E90)</f>
        <v>9280</v>
      </c>
      <c r="E91" s="635"/>
      <c r="F91" s="633">
        <f>SUM(F90:G90)</f>
        <v>0</v>
      </c>
      <c r="G91" s="635"/>
      <c r="H91" s="633">
        <f ca="1">SUM(H90:I90)</f>
        <v>0</v>
      </c>
      <c r="I91" s="635"/>
      <c r="J91" s="633">
        <f ca="1">SUM(J90:K90)</f>
        <v>0</v>
      </c>
      <c r="K91" s="635"/>
      <c r="L91" s="407">
        <f>L90</f>
        <v>0</v>
      </c>
      <c r="M91" s="633">
        <f>SUM(M90:N90)</f>
        <v>0</v>
      </c>
      <c r="N91" s="635"/>
      <c r="O91" s="407">
        <f>O90</f>
        <v>0</v>
      </c>
      <c r="P91" s="407">
        <f>P90</f>
        <v>0</v>
      </c>
    </row>
    <row r="92" spans="1:17" ht="35.1" customHeight="1">
      <c r="B92" s="405"/>
      <c r="C92" s="412"/>
      <c r="D92" s="633">
        <f ca="1">SUM(D91:G91)</f>
        <v>9280</v>
      </c>
      <c r="E92" s="634"/>
      <c r="F92" s="634"/>
      <c r="G92" s="635"/>
      <c r="H92" s="407">
        <f ca="1">SUM(H91:I91)</f>
        <v>0</v>
      </c>
      <c r="I92" s="407"/>
      <c r="J92" s="407">
        <f ca="1">SUM(J90:K90)</f>
        <v>0</v>
      </c>
      <c r="K92" s="407"/>
      <c r="L92" s="407">
        <f>L91</f>
        <v>0</v>
      </c>
      <c r="M92" s="633">
        <f t="shared" ref="M92" si="26">SUM(M91:N91)</f>
        <v>0</v>
      </c>
      <c r="N92" s="635"/>
      <c r="O92" s="407">
        <f>O91</f>
        <v>0</v>
      </c>
      <c r="P92" s="407">
        <f>P91</f>
        <v>0</v>
      </c>
    </row>
    <row r="93" spans="1:17" ht="35.1" customHeight="1">
      <c r="B93" s="405"/>
      <c r="C93" s="412"/>
      <c r="D93" s="633">
        <f ca="1">SUM(D92:K92)</f>
        <v>9280</v>
      </c>
      <c r="E93" s="634"/>
      <c r="F93" s="634"/>
      <c r="G93" s="634"/>
      <c r="H93" s="634"/>
      <c r="I93" s="634"/>
      <c r="J93" s="634"/>
      <c r="K93" s="635"/>
      <c r="L93" s="633">
        <f>SUM(L92:P92)</f>
        <v>0</v>
      </c>
      <c r="M93" s="634"/>
      <c r="N93" s="634"/>
      <c r="O93" s="634"/>
      <c r="P93" s="635"/>
    </row>
    <row r="94" spans="1:17"/>
    <row r="95" spans="1:17"/>
    <row r="96" spans="1:17" ht="23.25">
      <c r="B96" s="410" t="s">
        <v>291</v>
      </c>
      <c r="C96" s="410"/>
      <c r="D96" s="397"/>
      <c r="E96" s="397"/>
      <c r="F96" s="397"/>
      <c r="G96" s="397"/>
      <c r="H96" s="397"/>
      <c r="I96" s="397"/>
      <c r="J96" s="397"/>
      <c r="K96" s="397"/>
      <c r="L96" s="397"/>
      <c r="M96" s="397"/>
      <c r="N96" s="397"/>
      <c r="O96" s="397"/>
      <c r="P96" s="397"/>
    </row>
    <row r="97" spans="1:17" ht="20.25">
      <c r="B97" s="408" t="str">
        <f>"Periode Tahun : "&amp;TEXT(DATE($D$2,$G$2,$K$2),"[$-21]yyyy;@")</f>
        <v>Periode Tahun : 2020</v>
      </c>
      <c r="C97" s="408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</row>
    <row r="98" spans="1:17" ht="5.0999999999999996" customHeight="1" thickBot="1"/>
    <row r="99" spans="1:17" ht="13.5" thickTop="1">
      <c r="B99" s="571" t="s">
        <v>121</v>
      </c>
      <c r="C99" s="572"/>
      <c r="D99" s="575" t="s">
        <v>109</v>
      </c>
      <c r="E99" s="576"/>
      <c r="F99" s="576"/>
      <c r="G99" s="576"/>
      <c r="H99" s="576"/>
      <c r="I99" s="576"/>
      <c r="J99" s="576"/>
      <c r="K99" s="577"/>
      <c r="L99" s="560" t="s">
        <v>116</v>
      </c>
      <c r="M99" s="571" t="s">
        <v>117</v>
      </c>
      <c r="N99" s="572"/>
      <c r="O99" s="560" t="s">
        <v>118</v>
      </c>
      <c r="P99" s="563" t="s">
        <v>233</v>
      </c>
    </row>
    <row r="100" spans="1:17">
      <c r="B100" s="638"/>
      <c r="C100" s="639"/>
      <c r="D100" s="569" t="s">
        <v>110</v>
      </c>
      <c r="E100" s="569"/>
      <c r="F100" s="569" t="s">
        <v>113</v>
      </c>
      <c r="G100" s="569"/>
      <c r="H100" s="569" t="s">
        <v>114</v>
      </c>
      <c r="I100" s="569"/>
      <c r="J100" s="569" t="s">
        <v>115</v>
      </c>
      <c r="K100" s="569"/>
      <c r="L100" s="561"/>
      <c r="M100" s="573"/>
      <c r="N100" s="574"/>
      <c r="O100" s="561"/>
      <c r="P100" s="564"/>
    </row>
    <row r="101" spans="1:17">
      <c r="B101" s="573"/>
      <c r="C101" s="574"/>
      <c r="D101" s="370" t="s">
        <v>111</v>
      </c>
      <c r="E101" s="370" t="s">
        <v>112</v>
      </c>
      <c r="F101" s="370" t="s">
        <v>111</v>
      </c>
      <c r="G101" s="370" t="s">
        <v>112</v>
      </c>
      <c r="H101" s="370" t="s">
        <v>111</v>
      </c>
      <c r="I101" s="370" t="s">
        <v>112</v>
      </c>
      <c r="J101" s="370" t="s">
        <v>111</v>
      </c>
      <c r="K101" s="370" t="s">
        <v>112</v>
      </c>
      <c r="L101" s="562"/>
      <c r="M101" s="370" t="s">
        <v>111</v>
      </c>
      <c r="N101" s="370" t="s">
        <v>112</v>
      </c>
      <c r="O101" s="562"/>
      <c r="P101" s="564"/>
    </row>
    <row r="102" spans="1:17">
      <c r="B102" s="413">
        <v>1</v>
      </c>
      <c r="C102" s="414"/>
      <c r="D102" s="401">
        <f>B102+1</f>
        <v>2</v>
      </c>
      <c r="E102" s="401">
        <f t="shared" ref="E102:P102" si="27">D102+1</f>
        <v>3</v>
      </c>
      <c r="F102" s="401">
        <f t="shared" si="27"/>
        <v>4</v>
      </c>
      <c r="G102" s="401">
        <f t="shared" si="27"/>
        <v>5</v>
      </c>
      <c r="H102" s="401">
        <f t="shared" si="27"/>
        <v>6</v>
      </c>
      <c r="I102" s="401">
        <f t="shared" si="27"/>
        <v>7</v>
      </c>
      <c r="J102" s="401">
        <f t="shared" si="27"/>
        <v>8</v>
      </c>
      <c r="K102" s="401">
        <f t="shared" si="27"/>
        <v>9</v>
      </c>
      <c r="L102" s="401">
        <f t="shared" si="27"/>
        <v>10</v>
      </c>
      <c r="M102" s="401">
        <f t="shared" si="27"/>
        <v>11</v>
      </c>
      <c r="N102" s="401">
        <f t="shared" si="27"/>
        <v>12</v>
      </c>
      <c r="O102" s="401">
        <f t="shared" si="27"/>
        <v>13</v>
      </c>
      <c r="P102" s="401">
        <f t="shared" si="27"/>
        <v>14</v>
      </c>
    </row>
    <row r="103" spans="1:17" s="346" customFormat="1" ht="5.0999999999999996" customHeight="1">
      <c r="A103" s="317"/>
      <c r="B103" s="417"/>
      <c r="C103" s="418"/>
      <c r="D103" s="411"/>
      <c r="E103" s="411"/>
      <c r="F103" s="411"/>
      <c r="G103" s="411"/>
      <c r="H103" s="411"/>
      <c r="I103" s="411"/>
      <c r="J103" s="411"/>
      <c r="K103" s="411"/>
      <c r="L103" s="411"/>
      <c r="M103" s="411"/>
      <c r="N103" s="411"/>
      <c r="O103" s="411"/>
      <c r="P103" s="411"/>
      <c r="Q103" s="317"/>
    </row>
    <row r="104" spans="1:17" ht="20.100000000000001" customHeight="1">
      <c r="A104" s="409"/>
      <c r="B104" s="636">
        <f>DATE($D$2,1,1)</f>
        <v>43831</v>
      </c>
      <c r="C104" s="637"/>
      <c r="D104" s="402">
        <f ca="1">IFERROR(SUMIFS(DBLH[jdarat],DBLH[tanggal],"&gt;="&amp;B104,DBLH[tanggal],"&lt;="&amp;DATE(YEAR(B104),MONTH(B104)+1,0)),0)</f>
        <v>882410</v>
      </c>
      <c r="E104" s="402">
        <f ca="1">IFERROR(SUMIFS(DBLH[jlaut],DBLH[tanggal],"&gt;="&amp;B104,DBLH[tanggal],"&lt;="&amp;DATE(YEAR(B104),MONTH(B104)+1,0)),0)</f>
        <v>2765710</v>
      </c>
      <c r="F104" s="402">
        <f>IFERROR(SUMIFS(DBLH[gdarat],DBLH[tanggal],"&gt;="&amp;B104,DBLH[tanggal],"&lt;="&amp;DATE(YEAR(B104),MONTH(B104)+1,0)),0)</f>
        <v>0</v>
      </c>
      <c r="G104" s="402">
        <f>IFERROR(SUMIFS(DBLH[glaut],DBLH[tanggal],"&gt;="&amp;B104,DBLH[tanggal],"&lt;="&amp;DATE(YEAR(B104),MONTH(B104)+1,0)),0)</f>
        <v>0</v>
      </c>
      <c r="H104" s="402">
        <f ca="1">IFERROR(SUMIFS(DBLH[bdarat],DBLH[tanggal],"&gt;="&amp;B104,DBLH[tanggal],"&lt;="&amp;DATE(YEAR(B104),MONTH(B104)+1,0)),0)</f>
        <v>0</v>
      </c>
      <c r="I104" s="402">
        <f ca="1">IFERROR(SUMIFS(DBLH[blaut],DBLH[tanggal],"&gt;="&amp;B104,DBLH[tanggal],"&lt;="&amp;DATE(YEAR(B104),MONTH(B104)+1,0)),0)</f>
        <v>0</v>
      </c>
      <c r="J104" s="402">
        <f ca="1">IFERROR(SUMIFS(DBLH[bdarat],DBLH[tanggal],"&gt;="&amp;B104,DBLH[tanggal],"&lt;="&amp;DATE(YEAR(B104),MONTH(B104)+1,0)),0)</f>
        <v>0</v>
      </c>
      <c r="K104" s="402">
        <f ca="1">IFERROR(SUMIFS(DBLH[bslaut],DBLH[tanggal],"&gt;="&amp;B104,DBLH[tanggal],"&lt;="&amp;DATE(YEAR(B104),MONTH(B104)+1,0)),0)</f>
        <v>0</v>
      </c>
      <c r="L104" s="402">
        <f>IFERROR(SUMIFS(DBLH[kkupas],DBLH[tanggal],"&gt;="&amp;B104,DBLH[tanggal],"&lt;="&amp;DATE(YEAR(B104),MONTH(B104)+1,0)),0)</f>
        <v>0</v>
      </c>
      <c r="M104" s="402">
        <f>IFERROR(SUMIFS(DBLH[krdarat],DBLH[tanggal],"&gt;="&amp;B104,DBLH[tanggal],"&lt;="&amp;DATE(YEAR(B104),MONTH(B104)+1,0)),0)</f>
        <v>0</v>
      </c>
      <c r="N104" s="402">
        <f>IFERROR(SUMIFS(DBLH[krlaut],DBLH[tanggal],"&gt;="&amp;B104,DBLH[tanggal],"&lt;="&amp;DATE(YEAR(B104),MONTH(B104)+1,0)),0)</f>
        <v>0</v>
      </c>
      <c r="O104" s="402">
        <f>IFERROR(SUMIFS(DBLH[kmp2],DBLH[tanggal],"&gt;="&amp;B104,DBLH[tanggal],"&lt;="&amp;DATE(YEAR(B104),MONTH(B104)+1,0)),0)</f>
        <v>0</v>
      </c>
      <c r="P104" s="402">
        <f>IFERROR(SUMIFS(DBLH[kbisk],DBLH[tanggal],"&gt;="&amp;B104,DBLH[tanggal],"&lt;="&amp;DATE(YEAR(B104),MONTH(B104)+1,0)),0)</f>
        <v>0</v>
      </c>
    </row>
    <row r="105" spans="1:17" ht="20.100000000000001" customHeight="1">
      <c r="B105" s="636">
        <f>DATE($D$2,MONTH(B104)+1,1)</f>
        <v>43862</v>
      </c>
      <c r="C105" s="637"/>
      <c r="D105" s="403">
        <f ca="1">IFERROR(SUMIFS(DBLH[jdarat],DBLH[tanggal],"&gt;="&amp;B105,DBLH[tanggal],"&lt;="&amp;DATE(YEAR(B105),MONTH(B105)+1,0)),0)</f>
        <v>1546440</v>
      </c>
      <c r="E105" s="403">
        <f ca="1">IFERROR(SUMIFS(DBLH[jlaut],DBLH[tanggal],"&gt;="&amp;B105,DBLH[tanggal],"&lt;="&amp;DATE(YEAR(B105),MONTH(B105)+1,0)),0)</f>
        <v>2251190</v>
      </c>
      <c r="F105" s="403">
        <f>IFERROR(SUMIFS(DBLH[gdarat],DBLH[tanggal],"&gt;="&amp;B105,DBLH[tanggal],"&lt;="&amp;DATE(YEAR(B105),MONTH(B105)+1,0)),0)</f>
        <v>0</v>
      </c>
      <c r="G105" s="403">
        <f>IFERROR(SUMIFS(DBLH[glaut],DBLH[tanggal],"&gt;="&amp;B105,DBLH[tanggal],"&lt;="&amp;DATE(YEAR(B105),MONTH(B105)+1,0)),0)</f>
        <v>0</v>
      </c>
      <c r="H105" s="403">
        <f ca="1">IFERROR(SUMIFS(DBLH[bdarat],DBLH[tanggal],"&gt;="&amp;B105,DBLH[tanggal],"&lt;="&amp;DATE(YEAR(B105),MONTH(B105)+1,0)),0)</f>
        <v>0</v>
      </c>
      <c r="I105" s="403">
        <f ca="1">IFERROR(SUMIFS(DBLH[blaut],DBLH[tanggal],"&gt;="&amp;B105,DBLH[tanggal],"&lt;="&amp;DATE(YEAR(B105),MONTH(B105)+1,0)),0)</f>
        <v>0</v>
      </c>
      <c r="J105" s="403">
        <f ca="1">IFERROR(SUMIFS(DBLH[bdarat],DBLH[tanggal],"&gt;="&amp;B105,DBLH[tanggal],"&lt;="&amp;DATE(YEAR(B105),MONTH(B105)+1,0)),0)</f>
        <v>0</v>
      </c>
      <c r="K105" s="403">
        <f ca="1">IFERROR(SUMIFS(DBLH[bslaut],DBLH[tanggal],"&gt;="&amp;B105,DBLH[tanggal],"&lt;="&amp;DATE(YEAR(B105),MONTH(B105)+1,0)),0)</f>
        <v>0</v>
      </c>
      <c r="L105" s="403">
        <f>IFERROR(SUMIFS(DBLH[kkupas],DBLH[tanggal],"&gt;="&amp;B105,DBLH[tanggal],"&lt;="&amp;DATE(YEAR(B105),MONTH(B105)+1,0)),0)</f>
        <v>2470</v>
      </c>
      <c r="M105" s="403">
        <f>IFERROR(SUMIFS(DBLH[krdarat],DBLH[tanggal],"&gt;="&amp;B105,DBLH[tanggal],"&lt;="&amp;DATE(YEAR(B105),MONTH(B105)+1,0)),0)</f>
        <v>0</v>
      </c>
      <c r="N105" s="403">
        <f>IFERROR(SUMIFS(DBLH[krlaut],DBLH[tanggal],"&gt;="&amp;B105,DBLH[tanggal],"&lt;="&amp;DATE(YEAR(B105),MONTH(B105)+1,0)),0)</f>
        <v>0</v>
      </c>
      <c r="O105" s="403">
        <f>IFERROR(SUMIFS(DBLH[kmp2],DBLH[tanggal],"&gt;="&amp;B105,DBLH[tanggal],"&lt;="&amp;DATE(YEAR(B105),MONTH(B105)+1,0)),0)</f>
        <v>0</v>
      </c>
      <c r="P105" s="403">
        <f>IFERROR(SUMIFS(DBLH[kbisk],DBLH[tanggal],"&gt;="&amp;B105,DBLH[tanggal],"&lt;="&amp;DATE(YEAR(B105),MONTH(B105)+1,0)),0)</f>
        <v>0</v>
      </c>
    </row>
    <row r="106" spans="1:17" ht="20.100000000000001" customHeight="1">
      <c r="B106" s="636">
        <f t="shared" ref="B106:B115" si="28">DATE($D$2,MONTH(B105)+1,1)</f>
        <v>43891</v>
      </c>
      <c r="C106" s="637"/>
      <c r="D106" s="403">
        <f ca="1">IFERROR(SUMIFS(DBLH[jdarat],DBLH[tanggal],"&gt;="&amp;B106,DBLH[tanggal],"&lt;="&amp;DATE(YEAR(B106),MONTH(B106)+1,0)),0)</f>
        <v>1076900</v>
      </c>
      <c r="E106" s="403">
        <f ca="1">IFERROR(SUMIFS(DBLH[jlaut],DBLH[tanggal],"&gt;="&amp;B106,DBLH[tanggal],"&lt;="&amp;DATE(YEAR(B106),MONTH(B106)+1,0)),0)</f>
        <v>803350</v>
      </c>
      <c r="F106" s="403">
        <f>IFERROR(SUMIFS(DBLH[gdarat],DBLH[tanggal],"&gt;="&amp;B106,DBLH[tanggal],"&lt;="&amp;DATE(YEAR(B106),MONTH(B106)+1,0)),0)</f>
        <v>0</v>
      </c>
      <c r="G106" s="403">
        <f>IFERROR(SUMIFS(DBLH[glaut],DBLH[tanggal],"&gt;="&amp;B106,DBLH[tanggal],"&lt;="&amp;DATE(YEAR(B106),MONTH(B106)+1,0)),0)</f>
        <v>0</v>
      </c>
      <c r="H106" s="403">
        <f ca="1">IFERROR(SUMIFS(DBLH[bdarat],DBLH[tanggal],"&gt;="&amp;B106,DBLH[tanggal],"&lt;="&amp;DATE(YEAR(B106),MONTH(B106)+1,0)),0)</f>
        <v>0</v>
      </c>
      <c r="I106" s="403">
        <f ca="1">IFERROR(SUMIFS(DBLH[blaut],DBLH[tanggal],"&gt;="&amp;B106,DBLH[tanggal],"&lt;="&amp;DATE(YEAR(B106),MONTH(B106)+1,0)),0)</f>
        <v>0</v>
      </c>
      <c r="J106" s="403">
        <f ca="1">IFERROR(SUMIFS(DBLH[bdarat],DBLH[tanggal],"&gt;="&amp;B106,DBLH[tanggal],"&lt;="&amp;DATE(YEAR(B106),MONTH(B106)+1,0)),0)</f>
        <v>0</v>
      </c>
      <c r="K106" s="403">
        <f ca="1">IFERROR(SUMIFS(DBLH[bslaut],DBLH[tanggal],"&gt;="&amp;B106,DBLH[tanggal],"&lt;="&amp;DATE(YEAR(B106),MONTH(B106)+1,0)),0)</f>
        <v>0</v>
      </c>
      <c r="L106" s="403">
        <f>IFERROR(SUMIFS(DBLH[kkupas],DBLH[tanggal],"&gt;="&amp;B106,DBLH[tanggal],"&lt;="&amp;DATE(YEAR(B106),MONTH(B106)+1,0)),0)</f>
        <v>0</v>
      </c>
      <c r="M106" s="403">
        <f>IFERROR(SUMIFS(DBLH[krdarat],DBLH[tanggal],"&gt;="&amp;B106,DBLH[tanggal],"&lt;="&amp;DATE(YEAR(B106),MONTH(B106)+1,0)),0)</f>
        <v>0</v>
      </c>
      <c r="N106" s="403">
        <f>IFERROR(SUMIFS(DBLH[krlaut],DBLH[tanggal],"&gt;="&amp;B106,DBLH[tanggal],"&lt;="&amp;DATE(YEAR(B106),MONTH(B106)+1,0)),0)</f>
        <v>0</v>
      </c>
      <c r="O106" s="403">
        <f>IFERROR(SUMIFS(DBLH[kmp2],DBLH[tanggal],"&gt;="&amp;B106,DBLH[tanggal],"&lt;="&amp;DATE(YEAR(B106),MONTH(B106)+1,0)),0)</f>
        <v>0</v>
      </c>
      <c r="P106" s="403">
        <f>IFERROR(SUMIFS(DBLH[kbisk],DBLH[tanggal],"&gt;="&amp;B106,DBLH[tanggal],"&lt;="&amp;DATE(YEAR(B106),MONTH(B106)+1,0)),0)</f>
        <v>0</v>
      </c>
    </row>
    <row r="107" spans="1:17" ht="20.100000000000001" customHeight="1">
      <c r="B107" s="636">
        <f t="shared" si="28"/>
        <v>43922</v>
      </c>
      <c r="C107" s="637"/>
      <c r="D107" s="403">
        <f ca="1">IFERROR(SUMIFS(DBLH[jdarat],DBLH[tanggal],"&gt;="&amp;B107,DBLH[tanggal],"&lt;="&amp;DATE(YEAR(B107),MONTH(B107)+1,0)),0)</f>
        <v>0</v>
      </c>
      <c r="E107" s="403">
        <f ca="1">IFERROR(SUMIFS(DBLH[jlaut],DBLH[tanggal],"&gt;="&amp;B107,DBLH[tanggal],"&lt;="&amp;DATE(YEAR(B107),MONTH(B107)+1,0)),0)</f>
        <v>9280</v>
      </c>
      <c r="F107" s="403">
        <f>IFERROR(SUMIFS(DBLH[gdarat],DBLH[tanggal],"&gt;="&amp;B107,DBLH[tanggal],"&lt;="&amp;DATE(YEAR(B107),MONTH(B107)+1,0)),0)</f>
        <v>0</v>
      </c>
      <c r="G107" s="403">
        <f>IFERROR(SUMIFS(DBLH[glaut],DBLH[tanggal],"&gt;="&amp;B107,DBLH[tanggal],"&lt;="&amp;DATE(YEAR(B107),MONTH(B107)+1,0)),0)</f>
        <v>0</v>
      </c>
      <c r="H107" s="403">
        <f ca="1">IFERROR(SUMIFS(DBLH[bdarat],DBLH[tanggal],"&gt;="&amp;B107,DBLH[tanggal],"&lt;="&amp;DATE(YEAR(B107),MONTH(B107)+1,0)),0)</f>
        <v>0</v>
      </c>
      <c r="I107" s="403">
        <f ca="1">IFERROR(SUMIFS(DBLH[blaut],DBLH[tanggal],"&gt;="&amp;B107,DBLH[tanggal],"&lt;="&amp;DATE(YEAR(B107),MONTH(B107)+1,0)),0)</f>
        <v>0</v>
      </c>
      <c r="J107" s="403">
        <f ca="1">IFERROR(SUMIFS(DBLH[bdarat],DBLH[tanggal],"&gt;="&amp;B107,DBLH[tanggal],"&lt;="&amp;DATE(YEAR(B107),MONTH(B107)+1,0)),0)</f>
        <v>0</v>
      </c>
      <c r="K107" s="403">
        <f ca="1">IFERROR(SUMIFS(DBLH[bslaut],DBLH[tanggal],"&gt;="&amp;B107,DBLH[tanggal],"&lt;="&amp;DATE(YEAR(B107),MONTH(B107)+1,0)),0)</f>
        <v>0</v>
      </c>
      <c r="L107" s="403">
        <f>IFERROR(SUMIFS(DBLH[kkupas],DBLH[tanggal],"&gt;="&amp;B107,DBLH[tanggal],"&lt;="&amp;DATE(YEAR(B107),MONTH(B107)+1,0)),0)</f>
        <v>0</v>
      </c>
      <c r="M107" s="403">
        <f>IFERROR(SUMIFS(DBLH[krdarat],DBLH[tanggal],"&gt;="&amp;B107,DBLH[tanggal],"&lt;="&amp;DATE(YEAR(B107),MONTH(B107)+1,0)),0)</f>
        <v>0</v>
      </c>
      <c r="N107" s="403">
        <f>IFERROR(SUMIFS(DBLH[krlaut],DBLH[tanggal],"&gt;="&amp;B107,DBLH[tanggal],"&lt;="&amp;DATE(YEAR(B107),MONTH(B107)+1,0)),0)</f>
        <v>0</v>
      </c>
      <c r="O107" s="403">
        <f>IFERROR(SUMIFS(DBLH[kmp2],DBLH[tanggal],"&gt;="&amp;B107,DBLH[tanggal],"&lt;="&amp;DATE(YEAR(B107),MONTH(B107)+1,0)),0)</f>
        <v>0</v>
      </c>
      <c r="P107" s="403">
        <f>IFERROR(SUMIFS(DBLH[kbisk],DBLH[tanggal],"&gt;="&amp;B107,DBLH[tanggal],"&lt;="&amp;DATE(YEAR(B107),MONTH(B107)+1,0)),0)</f>
        <v>0</v>
      </c>
    </row>
    <row r="108" spans="1:17" ht="20.100000000000001" customHeight="1">
      <c r="B108" s="636">
        <f t="shared" si="28"/>
        <v>43952</v>
      </c>
      <c r="C108" s="637"/>
      <c r="D108" s="403">
        <f ca="1">IFERROR(SUMIFS(DBLH[jdarat],DBLH[tanggal],"&gt;="&amp;B108,DBLH[tanggal],"&lt;="&amp;DATE(YEAR(B108),MONTH(B108)+1,0)),0)</f>
        <v>0</v>
      </c>
      <c r="E108" s="403">
        <f ca="1">IFERROR(SUMIFS(DBLH[jlaut],DBLH[tanggal],"&gt;="&amp;B108,DBLH[tanggal],"&lt;="&amp;DATE(YEAR(B108),MONTH(B108)+1,0)),0)</f>
        <v>0</v>
      </c>
      <c r="F108" s="403">
        <f>IFERROR(SUMIFS(DBLH[gdarat],DBLH[tanggal],"&gt;="&amp;B108,DBLH[tanggal],"&lt;="&amp;DATE(YEAR(B108),MONTH(B108)+1,0)),0)</f>
        <v>0</v>
      </c>
      <c r="G108" s="403">
        <f>IFERROR(SUMIFS(DBLH[glaut],DBLH[tanggal],"&gt;="&amp;B108,DBLH[tanggal],"&lt;="&amp;DATE(YEAR(B108),MONTH(B108)+1,0)),0)</f>
        <v>0</v>
      </c>
      <c r="H108" s="403">
        <f ca="1">IFERROR(SUMIFS(DBLH[bdarat],DBLH[tanggal],"&gt;="&amp;B108,DBLH[tanggal],"&lt;="&amp;DATE(YEAR(B108),MONTH(B108)+1,0)),0)</f>
        <v>0</v>
      </c>
      <c r="I108" s="403">
        <f ca="1">IFERROR(SUMIFS(DBLH[blaut],DBLH[tanggal],"&gt;="&amp;B108,DBLH[tanggal],"&lt;="&amp;DATE(YEAR(B108),MONTH(B108)+1,0)),0)</f>
        <v>0</v>
      </c>
      <c r="J108" s="403">
        <f ca="1">IFERROR(SUMIFS(DBLH[bdarat],DBLH[tanggal],"&gt;="&amp;B108,DBLH[tanggal],"&lt;="&amp;DATE(YEAR(B108),MONTH(B108)+1,0)),0)</f>
        <v>0</v>
      </c>
      <c r="K108" s="403">
        <f ca="1">IFERROR(SUMIFS(DBLH[bslaut],DBLH[tanggal],"&gt;="&amp;B108,DBLH[tanggal],"&lt;="&amp;DATE(YEAR(B108),MONTH(B108)+1,0)),0)</f>
        <v>0</v>
      </c>
      <c r="L108" s="403">
        <f>IFERROR(SUMIFS(DBLH[kkupas],DBLH[tanggal],"&gt;="&amp;B108,DBLH[tanggal],"&lt;="&amp;DATE(YEAR(B108),MONTH(B108)+1,0)),0)</f>
        <v>0</v>
      </c>
      <c r="M108" s="403">
        <f>IFERROR(SUMIFS(DBLH[krdarat],DBLH[tanggal],"&gt;="&amp;B108,DBLH[tanggal],"&lt;="&amp;DATE(YEAR(B108),MONTH(B108)+1,0)),0)</f>
        <v>0</v>
      </c>
      <c r="N108" s="403">
        <f>IFERROR(SUMIFS(DBLH[krlaut],DBLH[tanggal],"&gt;="&amp;B108,DBLH[tanggal],"&lt;="&amp;DATE(YEAR(B108),MONTH(B108)+1,0)),0)</f>
        <v>0</v>
      </c>
      <c r="O108" s="403">
        <f>IFERROR(SUMIFS(DBLH[kmp2],DBLH[tanggal],"&gt;="&amp;B108,DBLH[tanggal],"&lt;="&amp;DATE(YEAR(B108),MONTH(B108)+1,0)),0)</f>
        <v>0</v>
      </c>
      <c r="P108" s="403">
        <f>IFERROR(SUMIFS(DBLH[kbisk],DBLH[tanggal],"&gt;="&amp;B108,DBLH[tanggal],"&lt;="&amp;DATE(YEAR(B108),MONTH(B108)+1,0)),0)</f>
        <v>0</v>
      </c>
    </row>
    <row r="109" spans="1:17" ht="20.100000000000001" customHeight="1">
      <c r="B109" s="636">
        <f t="shared" si="28"/>
        <v>43983</v>
      </c>
      <c r="C109" s="637"/>
      <c r="D109" s="403">
        <f ca="1">IFERROR(SUMIFS(DBLH[jdarat],DBLH[tanggal],"&gt;="&amp;B109,DBLH[tanggal],"&lt;="&amp;DATE(YEAR(B109),MONTH(B109)+1,0)),0)</f>
        <v>0</v>
      </c>
      <c r="E109" s="403">
        <f ca="1">IFERROR(SUMIFS(DBLH[jlaut],DBLH[tanggal],"&gt;="&amp;B109,DBLH[tanggal],"&lt;="&amp;DATE(YEAR(B109),MONTH(B109)+1,0)),0)</f>
        <v>0</v>
      </c>
      <c r="F109" s="403">
        <f>IFERROR(SUMIFS(DBLH[gdarat],DBLH[tanggal],"&gt;="&amp;B109,DBLH[tanggal],"&lt;="&amp;DATE(YEAR(B109),MONTH(B109)+1,0)),0)</f>
        <v>0</v>
      </c>
      <c r="G109" s="403">
        <f>IFERROR(SUMIFS(DBLH[glaut],DBLH[tanggal],"&gt;="&amp;B109,DBLH[tanggal],"&lt;="&amp;DATE(YEAR(B109),MONTH(B109)+1,0)),0)</f>
        <v>0</v>
      </c>
      <c r="H109" s="403">
        <f ca="1">IFERROR(SUMIFS(DBLH[bdarat],DBLH[tanggal],"&gt;="&amp;B109,DBLH[tanggal],"&lt;="&amp;DATE(YEAR(B109),MONTH(B109)+1,0)),0)</f>
        <v>0</v>
      </c>
      <c r="I109" s="403">
        <f ca="1">IFERROR(SUMIFS(DBLH[blaut],DBLH[tanggal],"&gt;="&amp;B109,DBLH[tanggal],"&lt;="&amp;DATE(YEAR(B109),MONTH(B109)+1,0)),0)</f>
        <v>0</v>
      </c>
      <c r="J109" s="403">
        <f ca="1">IFERROR(SUMIFS(DBLH[bdarat],DBLH[tanggal],"&gt;="&amp;B109,DBLH[tanggal],"&lt;="&amp;DATE(YEAR(B109),MONTH(B109)+1,0)),0)</f>
        <v>0</v>
      </c>
      <c r="K109" s="403">
        <f ca="1">IFERROR(SUMIFS(DBLH[bslaut],DBLH[tanggal],"&gt;="&amp;B109,DBLH[tanggal],"&lt;="&amp;DATE(YEAR(B109),MONTH(B109)+1,0)),0)</f>
        <v>0</v>
      </c>
      <c r="L109" s="403">
        <f>IFERROR(SUMIFS(DBLH[kkupas],DBLH[tanggal],"&gt;="&amp;B109,DBLH[tanggal],"&lt;="&amp;DATE(YEAR(B109),MONTH(B109)+1,0)),0)</f>
        <v>0</v>
      </c>
      <c r="M109" s="403">
        <f>IFERROR(SUMIFS(DBLH[krdarat],DBLH[tanggal],"&gt;="&amp;B109,DBLH[tanggal],"&lt;="&amp;DATE(YEAR(B109),MONTH(B109)+1,0)),0)</f>
        <v>0</v>
      </c>
      <c r="N109" s="403">
        <f>IFERROR(SUMIFS(DBLH[krlaut],DBLH[tanggal],"&gt;="&amp;B109,DBLH[tanggal],"&lt;="&amp;DATE(YEAR(B109),MONTH(B109)+1,0)),0)</f>
        <v>0</v>
      </c>
      <c r="O109" s="403">
        <f>IFERROR(SUMIFS(DBLH[kmp2],DBLH[tanggal],"&gt;="&amp;B109,DBLH[tanggal],"&lt;="&amp;DATE(YEAR(B109),MONTH(B109)+1,0)),0)</f>
        <v>0</v>
      </c>
      <c r="P109" s="403">
        <f>IFERROR(SUMIFS(DBLH[kbisk],DBLH[tanggal],"&gt;="&amp;B109,DBLH[tanggal],"&lt;="&amp;DATE(YEAR(B109),MONTH(B109)+1,0)),0)</f>
        <v>0</v>
      </c>
    </row>
    <row r="110" spans="1:17" ht="20.100000000000001" customHeight="1">
      <c r="B110" s="636">
        <f t="shared" si="28"/>
        <v>44013</v>
      </c>
      <c r="C110" s="637"/>
      <c r="D110" s="403">
        <f ca="1">IFERROR(SUMIFS(DBLH[jdarat],DBLH[tanggal],"&gt;="&amp;B110,DBLH[tanggal],"&lt;="&amp;DATE(YEAR(B110),MONTH(B110)+1,0)),0)</f>
        <v>0</v>
      </c>
      <c r="E110" s="403">
        <f ca="1">IFERROR(SUMIFS(DBLH[jlaut],DBLH[tanggal],"&gt;="&amp;B110,DBLH[tanggal],"&lt;="&amp;DATE(YEAR(B110),MONTH(B110)+1,0)),0)</f>
        <v>0</v>
      </c>
      <c r="F110" s="403">
        <f>IFERROR(SUMIFS(DBLH[gdarat],DBLH[tanggal],"&gt;="&amp;B110,DBLH[tanggal],"&lt;="&amp;DATE(YEAR(B110),MONTH(B110)+1,0)),0)</f>
        <v>0</v>
      </c>
      <c r="G110" s="403">
        <f>IFERROR(SUMIFS(DBLH[glaut],DBLH[tanggal],"&gt;="&amp;B110,DBLH[tanggal],"&lt;="&amp;DATE(YEAR(B110),MONTH(B110)+1,0)),0)</f>
        <v>0</v>
      </c>
      <c r="H110" s="403">
        <f ca="1">IFERROR(SUMIFS(DBLH[bdarat],DBLH[tanggal],"&gt;="&amp;B110,DBLH[tanggal],"&lt;="&amp;DATE(YEAR(B110),MONTH(B110)+1,0)),0)</f>
        <v>0</v>
      </c>
      <c r="I110" s="403">
        <f ca="1">IFERROR(SUMIFS(DBLH[blaut],DBLH[tanggal],"&gt;="&amp;B110,DBLH[tanggal],"&lt;="&amp;DATE(YEAR(B110),MONTH(B110)+1,0)),0)</f>
        <v>0</v>
      </c>
      <c r="J110" s="403">
        <f ca="1">IFERROR(SUMIFS(DBLH[bdarat],DBLH[tanggal],"&gt;="&amp;B110,DBLH[tanggal],"&lt;="&amp;DATE(YEAR(B110),MONTH(B110)+1,0)),0)</f>
        <v>0</v>
      </c>
      <c r="K110" s="403">
        <f ca="1">IFERROR(SUMIFS(DBLH[bslaut],DBLH[tanggal],"&gt;="&amp;B110,DBLH[tanggal],"&lt;="&amp;DATE(YEAR(B110),MONTH(B110)+1,0)),0)</f>
        <v>0</v>
      </c>
      <c r="L110" s="403">
        <f>IFERROR(SUMIFS(DBLH[kkupas],DBLH[tanggal],"&gt;="&amp;B110,DBLH[tanggal],"&lt;="&amp;DATE(YEAR(B110),MONTH(B110)+1,0)),0)</f>
        <v>0</v>
      </c>
      <c r="M110" s="403">
        <f>IFERROR(SUMIFS(DBLH[krdarat],DBLH[tanggal],"&gt;="&amp;B110,DBLH[tanggal],"&lt;="&amp;DATE(YEAR(B110),MONTH(B110)+1,0)),0)</f>
        <v>0</v>
      </c>
      <c r="N110" s="403">
        <f>IFERROR(SUMIFS(DBLH[krlaut],DBLH[tanggal],"&gt;="&amp;B110,DBLH[tanggal],"&lt;="&amp;DATE(YEAR(B110),MONTH(B110)+1,0)),0)</f>
        <v>0</v>
      </c>
      <c r="O110" s="403">
        <f>IFERROR(SUMIFS(DBLH[kmp2],DBLH[tanggal],"&gt;="&amp;B110,DBLH[tanggal],"&lt;="&amp;DATE(YEAR(B110),MONTH(B110)+1,0)),0)</f>
        <v>0</v>
      </c>
      <c r="P110" s="403">
        <f>IFERROR(SUMIFS(DBLH[kbisk],DBLH[tanggal],"&gt;="&amp;B110,DBLH[tanggal],"&lt;="&amp;DATE(YEAR(B110),MONTH(B110)+1,0)),0)</f>
        <v>0</v>
      </c>
    </row>
    <row r="111" spans="1:17" ht="20.100000000000001" customHeight="1">
      <c r="B111" s="636">
        <f t="shared" si="28"/>
        <v>44044</v>
      </c>
      <c r="C111" s="637"/>
      <c r="D111" s="403">
        <f ca="1">IFERROR(SUMIFS(DBLH[jdarat],DBLH[tanggal],"&gt;="&amp;B111,DBLH[tanggal],"&lt;="&amp;DATE(YEAR(B111),MONTH(B111)+1,0)),0)</f>
        <v>0</v>
      </c>
      <c r="E111" s="403">
        <f ca="1">IFERROR(SUMIFS(DBLH[jlaut],DBLH[tanggal],"&gt;="&amp;B111,DBLH[tanggal],"&lt;="&amp;DATE(YEAR(B111),MONTH(B111)+1,0)),0)</f>
        <v>0</v>
      </c>
      <c r="F111" s="403">
        <f>IFERROR(SUMIFS(DBLH[gdarat],DBLH[tanggal],"&gt;="&amp;B111,DBLH[tanggal],"&lt;="&amp;DATE(YEAR(B111),MONTH(B111)+1,0)),0)</f>
        <v>0</v>
      </c>
      <c r="G111" s="403">
        <f>IFERROR(SUMIFS(DBLH[glaut],DBLH[tanggal],"&gt;="&amp;B111,DBLH[tanggal],"&lt;="&amp;DATE(YEAR(B111),MONTH(B111)+1,0)),0)</f>
        <v>0</v>
      </c>
      <c r="H111" s="403">
        <f ca="1">IFERROR(SUMIFS(DBLH[bdarat],DBLH[tanggal],"&gt;="&amp;B111,DBLH[tanggal],"&lt;="&amp;DATE(YEAR(B111),MONTH(B111)+1,0)),0)</f>
        <v>0</v>
      </c>
      <c r="I111" s="403">
        <f ca="1">IFERROR(SUMIFS(DBLH[blaut],DBLH[tanggal],"&gt;="&amp;B111,DBLH[tanggal],"&lt;="&amp;DATE(YEAR(B111),MONTH(B111)+1,0)),0)</f>
        <v>0</v>
      </c>
      <c r="J111" s="403">
        <f ca="1">IFERROR(SUMIFS(DBLH[bdarat],DBLH[tanggal],"&gt;="&amp;B111,DBLH[tanggal],"&lt;="&amp;DATE(YEAR(B111),MONTH(B111)+1,0)),0)</f>
        <v>0</v>
      </c>
      <c r="K111" s="403">
        <f ca="1">IFERROR(SUMIFS(DBLH[bslaut],DBLH[tanggal],"&gt;="&amp;B111,DBLH[tanggal],"&lt;="&amp;DATE(YEAR(B111),MONTH(B111)+1,0)),0)</f>
        <v>0</v>
      </c>
      <c r="L111" s="403">
        <f>IFERROR(SUMIFS(DBLH[kkupas],DBLH[tanggal],"&gt;="&amp;B111,DBLH[tanggal],"&lt;="&amp;DATE(YEAR(B111),MONTH(B111)+1,0)),0)</f>
        <v>0</v>
      </c>
      <c r="M111" s="403">
        <f>IFERROR(SUMIFS(DBLH[krdarat],DBLH[tanggal],"&gt;="&amp;B111,DBLH[tanggal],"&lt;="&amp;DATE(YEAR(B111),MONTH(B111)+1,0)),0)</f>
        <v>0</v>
      </c>
      <c r="N111" s="403">
        <f>IFERROR(SUMIFS(DBLH[krlaut],DBLH[tanggal],"&gt;="&amp;B111,DBLH[tanggal],"&lt;="&amp;DATE(YEAR(B111),MONTH(B111)+1,0)),0)</f>
        <v>0</v>
      </c>
      <c r="O111" s="403">
        <f>IFERROR(SUMIFS(DBLH[kmp2],DBLH[tanggal],"&gt;="&amp;B111,DBLH[tanggal],"&lt;="&amp;DATE(YEAR(B111),MONTH(B111)+1,0)),0)</f>
        <v>0</v>
      </c>
      <c r="P111" s="403">
        <f>IFERROR(SUMIFS(DBLH[kbisk],DBLH[tanggal],"&gt;="&amp;B111,DBLH[tanggal],"&lt;="&amp;DATE(YEAR(B111),MONTH(B111)+1,0)),0)</f>
        <v>0</v>
      </c>
    </row>
    <row r="112" spans="1:17" ht="20.100000000000001" customHeight="1">
      <c r="B112" s="636">
        <f t="shared" si="28"/>
        <v>44075</v>
      </c>
      <c r="C112" s="637"/>
      <c r="D112" s="403">
        <f ca="1">IFERROR(SUMIFS(DBLH[jdarat],DBLH[tanggal],"&gt;="&amp;B112,DBLH[tanggal],"&lt;="&amp;DATE(YEAR(B112),MONTH(B112)+1,0)),0)</f>
        <v>0</v>
      </c>
      <c r="E112" s="403">
        <f ca="1">IFERROR(SUMIFS(DBLH[jlaut],DBLH[tanggal],"&gt;="&amp;B112,DBLH[tanggal],"&lt;="&amp;DATE(YEAR(B112),MONTH(B112)+1,0)),0)</f>
        <v>0</v>
      </c>
      <c r="F112" s="403">
        <f>IFERROR(SUMIFS(DBLH[gdarat],DBLH[tanggal],"&gt;="&amp;B112,DBLH[tanggal],"&lt;="&amp;DATE(YEAR(B112),MONTH(B112)+1,0)),0)</f>
        <v>0</v>
      </c>
      <c r="G112" s="403">
        <f>IFERROR(SUMIFS(DBLH[glaut],DBLH[tanggal],"&gt;="&amp;B112,DBLH[tanggal],"&lt;="&amp;DATE(YEAR(B112),MONTH(B112)+1,0)),0)</f>
        <v>0</v>
      </c>
      <c r="H112" s="403">
        <f ca="1">IFERROR(SUMIFS(DBLH[bdarat],DBLH[tanggal],"&gt;="&amp;B112,DBLH[tanggal],"&lt;="&amp;DATE(YEAR(B112),MONTH(B112)+1,0)),0)</f>
        <v>0</v>
      </c>
      <c r="I112" s="403">
        <f ca="1">IFERROR(SUMIFS(DBLH[blaut],DBLH[tanggal],"&gt;="&amp;B112,DBLH[tanggal],"&lt;="&amp;DATE(YEAR(B112),MONTH(B112)+1,0)),0)</f>
        <v>0</v>
      </c>
      <c r="J112" s="403">
        <f ca="1">IFERROR(SUMIFS(DBLH[bdarat],DBLH[tanggal],"&gt;="&amp;B112,DBLH[tanggal],"&lt;="&amp;DATE(YEAR(B112),MONTH(B112)+1,0)),0)</f>
        <v>0</v>
      </c>
      <c r="K112" s="403">
        <f ca="1">IFERROR(SUMIFS(DBLH[bslaut],DBLH[tanggal],"&gt;="&amp;B112,DBLH[tanggal],"&lt;="&amp;DATE(YEAR(B112),MONTH(B112)+1,0)),0)</f>
        <v>0</v>
      </c>
      <c r="L112" s="403">
        <f>IFERROR(SUMIFS(DBLH[kkupas],DBLH[tanggal],"&gt;="&amp;B112,DBLH[tanggal],"&lt;="&amp;DATE(YEAR(B112),MONTH(B112)+1,0)),0)</f>
        <v>0</v>
      </c>
      <c r="M112" s="403">
        <f>IFERROR(SUMIFS(DBLH[krdarat],DBLH[tanggal],"&gt;="&amp;B112,DBLH[tanggal],"&lt;="&amp;DATE(YEAR(B112),MONTH(B112)+1,0)),0)</f>
        <v>0</v>
      </c>
      <c r="N112" s="403">
        <f>IFERROR(SUMIFS(DBLH[krlaut],DBLH[tanggal],"&gt;="&amp;B112,DBLH[tanggal],"&lt;="&amp;DATE(YEAR(B112),MONTH(B112)+1,0)),0)</f>
        <v>0</v>
      </c>
      <c r="O112" s="403">
        <f>IFERROR(SUMIFS(DBLH[kmp2],DBLH[tanggal],"&gt;="&amp;B112,DBLH[tanggal],"&lt;="&amp;DATE(YEAR(B112),MONTH(B112)+1,0)),0)</f>
        <v>0</v>
      </c>
      <c r="P112" s="403">
        <f>IFERROR(SUMIFS(DBLH[kbisk],DBLH[tanggal],"&gt;="&amp;B112,DBLH[tanggal],"&lt;="&amp;DATE(YEAR(B112),MONTH(B112)+1,0)),0)</f>
        <v>0</v>
      </c>
    </row>
    <row r="113" spans="2:16" ht="20.100000000000001" customHeight="1">
      <c r="B113" s="636">
        <f t="shared" si="28"/>
        <v>44105</v>
      </c>
      <c r="C113" s="637"/>
      <c r="D113" s="403">
        <f ca="1">IFERROR(SUMIFS(DBLH[jdarat],DBLH[tanggal],"&gt;="&amp;B113,DBLH[tanggal],"&lt;="&amp;DATE(YEAR(B113),MONTH(B113)+1,0)),0)</f>
        <v>0</v>
      </c>
      <c r="E113" s="403">
        <f ca="1">IFERROR(SUMIFS(DBLH[jlaut],DBLH[tanggal],"&gt;="&amp;B113,DBLH[tanggal],"&lt;="&amp;DATE(YEAR(B113),MONTH(B113)+1,0)),0)</f>
        <v>0</v>
      </c>
      <c r="F113" s="403">
        <f>IFERROR(SUMIFS(DBLH[gdarat],DBLH[tanggal],"&gt;="&amp;B113,DBLH[tanggal],"&lt;="&amp;DATE(YEAR(B113),MONTH(B113)+1,0)),0)</f>
        <v>0</v>
      </c>
      <c r="G113" s="403">
        <f>IFERROR(SUMIFS(DBLH[glaut],DBLH[tanggal],"&gt;="&amp;B113,DBLH[tanggal],"&lt;="&amp;DATE(YEAR(B113),MONTH(B113)+1,0)),0)</f>
        <v>0</v>
      </c>
      <c r="H113" s="403">
        <f ca="1">IFERROR(SUMIFS(DBLH[bdarat],DBLH[tanggal],"&gt;="&amp;B113,DBLH[tanggal],"&lt;="&amp;DATE(YEAR(B113),MONTH(B113)+1,0)),0)</f>
        <v>0</v>
      </c>
      <c r="I113" s="403">
        <f ca="1">IFERROR(SUMIFS(DBLH[blaut],DBLH[tanggal],"&gt;="&amp;B113,DBLH[tanggal],"&lt;="&amp;DATE(YEAR(B113),MONTH(B113)+1,0)),0)</f>
        <v>0</v>
      </c>
      <c r="J113" s="403">
        <f ca="1">IFERROR(SUMIFS(DBLH[bdarat],DBLH[tanggal],"&gt;="&amp;B113,DBLH[tanggal],"&lt;="&amp;DATE(YEAR(B113),MONTH(B113)+1,0)),0)</f>
        <v>0</v>
      </c>
      <c r="K113" s="403">
        <f ca="1">IFERROR(SUMIFS(DBLH[bslaut],DBLH[tanggal],"&gt;="&amp;B113,DBLH[tanggal],"&lt;="&amp;DATE(YEAR(B113),MONTH(B113)+1,0)),0)</f>
        <v>0</v>
      </c>
      <c r="L113" s="403">
        <f>IFERROR(SUMIFS(DBLH[kkupas],DBLH[tanggal],"&gt;="&amp;B113,DBLH[tanggal],"&lt;="&amp;DATE(YEAR(B113),MONTH(B113)+1,0)),0)</f>
        <v>0</v>
      </c>
      <c r="M113" s="403">
        <f>IFERROR(SUMIFS(DBLH[krdarat],DBLH[tanggal],"&gt;="&amp;B113,DBLH[tanggal],"&lt;="&amp;DATE(YEAR(B113),MONTH(B113)+1,0)),0)</f>
        <v>0</v>
      </c>
      <c r="N113" s="403">
        <f>IFERROR(SUMIFS(DBLH[krlaut],DBLH[tanggal],"&gt;="&amp;B113,DBLH[tanggal],"&lt;="&amp;DATE(YEAR(B113),MONTH(B113)+1,0)),0)</f>
        <v>0</v>
      </c>
      <c r="O113" s="403">
        <f>IFERROR(SUMIFS(DBLH[kmp2],DBLH[tanggal],"&gt;="&amp;B113,DBLH[tanggal],"&lt;="&amp;DATE(YEAR(B113),MONTH(B113)+1,0)),0)</f>
        <v>0</v>
      </c>
      <c r="P113" s="403">
        <f>IFERROR(SUMIFS(DBLH[kbisk],DBLH[tanggal],"&gt;="&amp;B113,DBLH[tanggal],"&lt;="&amp;DATE(YEAR(B113),MONTH(B113)+1,0)),0)</f>
        <v>0</v>
      </c>
    </row>
    <row r="114" spans="2:16" ht="20.100000000000001" customHeight="1">
      <c r="B114" s="636">
        <f t="shared" si="28"/>
        <v>44136</v>
      </c>
      <c r="C114" s="637"/>
      <c r="D114" s="403">
        <f ca="1">IFERROR(SUMIFS(DBLH[jdarat],DBLH[tanggal],"&gt;="&amp;B114,DBLH[tanggal],"&lt;="&amp;DATE(YEAR(B114),MONTH(B114)+1,0)),0)</f>
        <v>0</v>
      </c>
      <c r="E114" s="403">
        <f ca="1">IFERROR(SUMIFS(DBLH[jlaut],DBLH[tanggal],"&gt;="&amp;B114,DBLH[tanggal],"&lt;="&amp;DATE(YEAR(B114),MONTH(B114)+1,0)),0)</f>
        <v>0</v>
      </c>
      <c r="F114" s="403">
        <f>IFERROR(SUMIFS(DBLH[gdarat],DBLH[tanggal],"&gt;="&amp;B114,DBLH[tanggal],"&lt;="&amp;DATE(YEAR(B114),MONTH(B114)+1,0)),0)</f>
        <v>0</v>
      </c>
      <c r="G114" s="403">
        <f>IFERROR(SUMIFS(DBLH[glaut],DBLH[tanggal],"&gt;="&amp;B114,DBLH[tanggal],"&lt;="&amp;DATE(YEAR(B114),MONTH(B114)+1,0)),0)</f>
        <v>0</v>
      </c>
      <c r="H114" s="403">
        <f ca="1">IFERROR(SUMIFS(DBLH[bdarat],DBLH[tanggal],"&gt;="&amp;B114,DBLH[tanggal],"&lt;="&amp;DATE(YEAR(B114),MONTH(B114)+1,0)),0)</f>
        <v>0</v>
      </c>
      <c r="I114" s="403">
        <f ca="1">IFERROR(SUMIFS(DBLH[blaut],DBLH[tanggal],"&gt;="&amp;B114,DBLH[tanggal],"&lt;="&amp;DATE(YEAR(B114),MONTH(B114)+1,0)),0)</f>
        <v>0</v>
      </c>
      <c r="J114" s="403">
        <f ca="1">IFERROR(SUMIFS(DBLH[bdarat],DBLH[tanggal],"&gt;="&amp;B114,DBLH[tanggal],"&lt;="&amp;DATE(YEAR(B114),MONTH(B114)+1,0)),0)</f>
        <v>0</v>
      </c>
      <c r="K114" s="403">
        <f ca="1">IFERROR(SUMIFS(DBLH[bslaut],DBLH[tanggal],"&gt;="&amp;B114,DBLH[tanggal],"&lt;="&amp;DATE(YEAR(B114),MONTH(B114)+1,0)),0)</f>
        <v>0</v>
      </c>
      <c r="L114" s="403">
        <f>IFERROR(SUMIFS(DBLH[kkupas],DBLH[tanggal],"&gt;="&amp;B114,DBLH[tanggal],"&lt;="&amp;DATE(YEAR(B114),MONTH(B114)+1,0)),0)</f>
        <v>0</v>
      </c>
      <c r="M114" s="403">
        <f>IFERROR(SUMIFS(DBLH[krdarat],DBLH[tanggal],"&gt;="&amp;B114,DBLH[tanggal],"&lt;="&amp;DATE(YEAR(B114),MONTH(B114)+1,0)),0)</f>
        <v>0</v>
      </c>
      <c r="N114" s="403">
        <f>IFERROR(SUMIFS(DBLH[krlaut],DBLH[tanggal],"&gt;="&amp;B114,DBLH[tanggal],"&lt;="&amp;DATE(YEAR(B114),MONTH(B114)+1,0)),0)</f>
        <v>0</v>
      </c>
      <c r="O114" s="403">
        <f>IFERROR(SUMIFS(DBLH[kmp2],DBLH[tanggal],"&gt;="&amp;B114,DBLH[tanggal],"&lt;="&amp;DATE(YEAR(B114),MONTH(B114)+1,0)),0)</f>
        <v>0</v>
      </c>
      <c r="P114" s="403">
        <f>IFERROR(SUMIFS(DBLH[kbisk],DBLH[tanggal],"&gt;="&amp;B114,DBLH[tanggal],"&lt;="&amp;DATE(YEAR(B114),MONTH(B114)+1,0)),0)</f>
        <v>0</v>
      </c>
    </row>
    <row r="115" spans="2:16" ht="20.100000000000001" customHeight="1">
      <c r="B115" s="636">
        <f t="shared" si="28"/>
        <v>44166</v>
      </c>
      <c r="C115" s="637"/>
      <c r="D115" s="403">
        <f ca="1">IFERROR(SUMIFS(DBLH[jdarat],DBLH[tanggal],"&gt;="&amp;B115,DBLH[tanggal],"&lt;="&amp;DATE(YEAR(B115),MONTH(B115)+1,0)),0)</f>
        <v>0</v>
      </c>
      <c r="E115" s="403">
        <f ca="1">IFERROR(SUMIFS(DBLH[jlaut],DBLH[tanggal],"&gt;="&amp;B115,DBLH[tanggal],"&lt;="&amp;DATE(YEAR(B115),MONTH(B115)+1,0)),0)</f>
        <v>0</v>
      </c>
      <c r="F115" s="403">
        <f>IFERROR(SUMIFS(DBLH[gdarat],DBLH[tanggal],"&gt;="&amp;B115,DBLH[tanggal],"&lt;="&amp;DATE(YEAR(B115),MONTH(B115)+1,0)),0)</f>
        <v>0</v>
      </c>
      <c r="G115" s="403">
        <f>IFERROR(SUMIFS(DBLH[glaut],DBLH[tanggal],"&gt;="&amp;B115,DBLH[tanggal],"&lt;="&amp;DATE(YEAR(B115),MONTH(B115)+1,0)),0)</f>
        <v>0</v>
      </c>
      <c r="H115" s="403">
        <f ca="1">IFERROR(SUMIFS(DBLH[bdarat],DBLH[tanggal],"&gt;="&amp;B115,DBLH[tanggal],"&lt;="&amp;DATE(YEAR(B115),MONTH(B115)+1,0)),0)</f>
        <v>0</v>
      </c>
      <c r="I115" s="403">
        <f ca="1">IFERROR(SUMIFS(DBLH[blaut],DBLH[tanggal],"&gt;="&amp;B115,DBLH[tanggal],"&lt;="&amp;DATE(YEAR(B115),MONTH(B115)+1,0)),0)</f>
        <v>0</v>
      </c>
      <c r="J115" s="403">
        <f ca="1">IFERROR(SUMIFS(DBLH[bdarat],DBLH[tanggal],"&gt;="&amp;B115,DBLH[tanggal],"&lt;="&amp;DATE(YEAR(B115),MONTH(B115)+1,0)),0)</f>
        <v>0</v>
      </c>
      <c r="K115" s="403">
        <f ca="1">IFERROR(SUMIFS(DBLH[bslaut],DBLH[tanggal],"&gt;="&amp;B115,DBLH[tanggal],"&lt;="&amp;DATE(YEAR(B115),MONTH(B115)+1,0)),0)</f>
        <v>0</v>
      </c>
      <c r="L115" s="403">
        <f>IFERROR(SUMIFS(DBLH[kkupas],DBLH[tanggal],"&gt;="&amp;B115,DBLH[tanggal],"&lt;="&amp;DATE(YEAR(B115),MONTH(B115)+1,0)),0)</f>
        <v>0</v>
      </c>
      <c r="M115" s="403">
        <f>IFERROR(SUMIFS(DBLH[krdarat],DBLH[tanggal],"&gt;="&amp;B115,DBLH[tanggal],"&lt;="&amp;DATE(YEAR(B115),MONTH(B115)+1,0)),0)</f>
        <v>0</v>
      </c>
      <c r="N115" s="403">
        <f>IFERROR(SUMIFS(DBLH[krlaut],DBLH[tanggal],"&gt;="&amp;B115,DBLH[tanggal],"&lt;="&amp;DATE(YEAR(B115),MONTH(B115)+1,0)),0)</f>
        <v>0</v>
      </c>
      <c r="O115" s="403">
        <f>IFERROR(SUMIFS(DBLH[kmp2],DBLH[tanggal],"&gt;="&amp;B115,DBLH[tanggal],"&lt;="&amp;DATE(YEAR(B115),MONTH(B115)+1,0)),0)</f>
        <v>0</v>
      </c>
      <c r="P115" s="403">
        <f>IFERROR(SUMIFS(DBLH[kbisk],DBLH[tanggal],"&gt;="&amp;B115,DBLH[tanggal],"&lt;="&amp;DATE(YEAR(B115),MONTH(B115)+1,0)),0)</f>
        <v>0</v>
      </c>
    </row>
    <row r="116" spans="2:16" ht="9.9499999999999993" customHeight="1">
      <c r="B116" s="316"/>
      <c r="C116" s="316"/>
      <c r="D116" s="406"/>
      <c r="E116" s="406"/>
      <c r="F116" s="406"/>
      <c r="G116" s="406"/>
      <c r="H116" s="406"/>
      <c r="I116" s="406"/>
      <c r="J116" s="406"/>
      <c r="K116" s="406"/>
      <c r="L116" s="406"/>
      <c r="M116" s="406"/>
      <c r="N116" s="406"/>
      <c r="O116" s="406"/>
      <c r="P116" s="406"/>
    </row>
    <row r="117" spans="2:16" ht="30" customHeight="1">
      <c r="B117" s="405"/>
      <c r="C117" s="405"/>
      <c r="D117" s="407">
        <f t="shared" ref="D117:P117" ca="1" si="29">SUM(D104:D115)</f>
        <v>3505750</v>
      </c>
      <c r="E117" s="407">
        <f t="shared" ca="1" si="29"/>
        <v>5829530</v>
      </c>
      <c r="F117" s="407">
        <f t="shared" si="29"/>
        <v>0</v>
      </c>
      <c r="G117" s="407">
        <f t="shared" si="29"/>
        <v>0</v>
      </c>
      <c r="H117" s="407">
        <f t="shared" ca="1" si="29"/>
        <v>0</v>
      </c>
      <c r="I117" s="407">
        <f t="shared" ca="1" si="29"/>
        <v>0</v>
      </c>
      <c r="J117" s="407">
        <f t="shared" ca="1" si="29"/>
        <v>0</v>
      </c>
      <c r="K117" s="407">
        <f t="shared" ca="1" si="29"/>
        <v>0</v>
      </c>
      <c r="L117" s="407">
        <f t="shared" si="29"/>
        <v>2470</v>
      </c>
      <c r="M117" s="407">
        <f t="shared" si="29"/>
        <v>0</v>
      </c>
      <c r="N117" s="407">
        <f t="shared" si="29"/>
        <v>0</v>
      </c>
      <c r="O117" s="407">
        <f t="shared" si="29"/>
        <v>0</v>
      </c>
      <c r="P117" s="407">
        <f t="shared" si="29"/>
        <v>0</v>
      </c>
    </row>
    <row r="118" spans="2:16" ht="30" customHeight="1">
      <c r="B118" s="405"/>
      <c r="C118" s="412"/>
      <c r="D118" s="633">
        <f ca="1">SUM(D117:E117)</f>
        <v>9335280</v>
      </c>
      <c r="E118" s="635"/>
      <c r="F118" s="633">
        <f>SUM(F117:G117)</f>
        <v>0</v>
      </c>
      <c r="G118" s="635"/>
      <c r="H118" s="633">
        <f ca="1">SUM(H117:I117)</f>
        <v>0</v>
      </c>
      <c r="I118" s="635"/>
      <c r="J118" s="633">
        <f ca="1">SUM(J117:K117)</f>
        <v>0</v>
      </c>
      <c r="K118" s="635"/>
      <c r="L118" s="407">
        <f>L117</f>
        <v>2470</v>
      </c>
      <c r="M118" s="633">
        <f>SUM(M117:N117)</f>
        <v>0</v>
      </c>
      <c r="N118" s="635"/>
      <c r="O118" s="407">
        <f>O117</f>
        <v>0</v>
      </c>
      <c r="P118" s="407">
        <f>P117</f>
        <v>0</v>
      </c>
    </row>
    <row r="119" spans="2:16" ht="30" customHeight="1">
      <c r="B119" s="405"/>
      <c r="C119" s="412"/>
      <c r="D119" s="633">
        <f ca="1">SUM(D118:G118)</f>
        <v>9335280</v>
      </c>
      <c r="E119" s="634"/>
      <c r="F119" s="634"/>
      <c r="G119" s="635"/>
      <c r="H119" s="407">
        <f ca="1">SUM(H118:I118)</f>
        <v>0</v>
      </c>
      <c r="I119" s="407"/>
      <c r="J119" s="407">
        <f ca="1">SUM(J117:K117)</f>
        <v>0</v>
      </c>
      <c r="K119" s="407"/>
      <c r="L119" s="407">
        <f>L118</f>
        <v>2470</v>
      </c>
      <c r="M119" s="633">
        <f t="shared" ref="M119" si="30">SUM(M118:N118)</f>
        <v>0</v>
      </c>
      <c r="N119" s="635"/>
      <c r="O119" s="407">
        <f>O118</f>
        <v>0</v>
      </c>
      <c r="P119" s="407">
        <f>P118</f>
        <v>0</v>
      </c>
    </row>
    <row r="120" spans="2:16"/>
    <row r="121" spans="2:16"/>
    <row r="122" spans="2:16"/>
  </sheetData>
  <mergeCells count="124">
    <mergeCell ref="B33:C33"/>
    <mergeCell ref="D7:K7"/>
    <mergeCell ref="L7:L9"/>
    <mergeCell ref="M7:N8"/>
    <mergeCell ref="O7:O9"/>
    <mergeCell ref="P7:P9"/>
    <mergeCell ref="D8:E8"/>
    <mergeCell ref="F8:G8"/>
    <mergeCell ref="H8:I8"/>
    <mergeCell ref="J8:K8"/>
    <mergeCell ref="B7:C9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M72:N72"/>
    <mergeCell ref="D73:K73"/>
    <mergeCell ref="L73:P73"/>
    <mergeCell ref="M57:N58"/>
    <mergeCell ref="O57:O59"/>
    <mergeCell ref="P57:P59"/>
    <mergeCell ref="B57:C59"/>
    <mergeCell ref="D58:E58"/>
    <mergeCell ref="F58:G58"/>
    <mergeCell ref="H58:I58"/>
    <mergeCell ref="J58:K58"/>
    <mergeCell ref="H71:I71"/>
    <mergeCell ref="B34:C34"/>
    <mergeCell ref="B35:C35"/>
    <mergeCell ref="B36:C36"/>
    <mergeCell ref="B37:C37"/>
    <mergeCell ref="B38:C38"/>
    <mergeCell ref="B39:C39"/>
    <mergeCell ref="D45:E45"/>
    <mergeCell ref="D91:E91"/>
    <mergeCell ref="F91:G91"/>
    <mergeCell ref="D72:G72"/>
    <mergeCell ref="B25:C25"/>
    <mergeCell ref="B26:C26"/>
    <mergeCell ref="B27:C27"/>
    <mergeCell ref="B28:C28"/>
    <mergeCell ref="B29:C29"/>
    <mergeCell ref="B30:C30"/>
    <mergeCell ref="B31:C31"/>
    <mergeCell ref="B32:C32"/>
    <mergeCell ref="M71:N71"/>
    <mergeCell ref="D71:E71"/>
    <mergeCell ref="F71:G71"/>
    <mergeCell ref="B40:C40"/>
    <mergeCell ref="B41:C41"/>
    <mergeCell ref="B42:C42"/>
    <mergeCell ref="D46:G46"/>
    <mergeCell ref="D47:K47"/>
    <mergeCell ref="F45:G45"/>
    <mergeCell ref="H45:I45"/>
    <mergeCell ref="J45:K45"/>
    <mergeCell ref="M45:N45"/>
    <mergeCell ref="M46:N46"/>
    <mergeCell ref="L47:P47"/>
    <mergeCell ref="D57:K57"/>
    <mergeCell ref="L57:L59"/>
    <mergeCell ref="B104:C104"/>
    <mergeCell ref="B105:C105"/>
    <mergeCell ref="B106:C106"/>
    <mergeCell ref="B107:C107"/>
    <mergeCell ref="J71:K71"/>
    <mergeCell ref="B79:C81"/>
    <mergeCell ref="B62:C62"/>
    <mergeCell ref="B63:C63"/>
    <mergeCell ref="B64:C64"/>
    <mergeCell ref="B65:C65"/>
    <mergeCell ref="B66:C66"/>
    <mergeCell ref="B67:C67"/>
    <mergeCell ref="B68:C68"/>
    <mergeCell ref="D93:K93"/>
    <mergeCell ref="H91:I91"/>
    <mergeCell ref="J91:K91"/>
    <mergeCell ref="B99:C101"/>
    <mergeCell ref="D92:G92"/>
    <mergeCell ref="D79:K79"/>
    <mergeCell ref="D119:G119"/>
    <mergeCell ref="M119:N119"/>
    <mergeCell ref="D118:E118"/>
    <mergeCell ref="F118:G118"/>
    <mergeCell ref="H118:I118"/>
    <mergeCell ref="J118:K118"/>
    <mergeCell ref="M118:N118"/>
    <mergeCell ref="B108:C108"/>
    <mergeCell ref="B109:C109"/>
    <mergeCell ref="B110:C110"/>
    <mergeCell ref="B111:C111"/>
    <mergeCell ref="B112:C112"/>
    <mergeCell ref="B113:C113"/>
    <mergeCell ref="B114:C114"/>
    <mergeCell ref="B115:C115"/>
    <mergeCell ref="M79:N80"/>
    <mergeCell ref="O79:O81"/>
    <mergeCell ref="P79:P81"/>
    <mergeCell ref="D80:E80"/>
    <mergeCell ref="F80:G80"/>
    <mergeCell ref="H80:I80"/>
    <mergeCell ref="J80:K80"/>
    <mergeCell ref="O99:O101"/>
    <mergeCell ref="P99:P101"/>
    <mergeCell ref="D100:E100"/>
    <mergeCell ref="F100:G100"/>
    <mergeCell ref="H100:I100"/>
    <mergeCell ref="J100:K100"/>
    <mergeCell ref="D99:K99"/>
    <mergeCell ref="L99:L101"/>
    <mergeCell ref="M99:N100"/>
    <mergeCell ref="L93:P93"/>
    <mergeCell ref="M91:N91"/>
    <mergeCell ref="M92:N92"/>
    <mergeCell ref="L79:L81"/>
  </mergeCells>
  <conditionalFormatting sqref="B84:C88 B90:C93 B70:C73 C63:C68 B62:B68 B64:C68 B44:C47 B12:B42 B41:C42 C40">
    <cfRule type="expression" dxfId="6" priority="7">
      <formula>IF(TEXT(B12,"[$-21]dddd;@")="Minggu",TRUE,FALSE)</formula>
    </cfRule>
  </conditionalFormatting>
  <dataValidations disablePrompts="1" count="1">
    <dataValidation type="whole" allowBlank="1" showInputMessage="1" showErrorMessage="1" sqref="F51">
      <formula1>1</formula1>
      <formula2>5</formula2>
    </dataValidation>
  </dataValidations>
  <pageMargins left="0.7" right="0.7" top="0.75" bottom="0.75" header="0.3" footer="0.3"/>
  <pageSetup paperSize="10003" orientation="landscape" horizontalDpi="180" verticalDpi="18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B2:L13"/>
  <sheetViews>
    <sheetView workbookViewId="0">
      <selection activeCell="P17" sqref="P17"/>
    </sheetView>
  </sheetViews>
  <sheetFormatPr defaultRowHeight="12.75"/>
  <cols>
    <col min="2" max="2" width="2.5703125" customWidth="1"/>
  </cols>
  <sheetData>
    <row r="2" spans="2:12">
      <c r="B2" s="334" t="s">
        <v>248</v>
      </c>
    </row>
    <row r="3" spans="2:12">
      <c r="B3" s="335" t="s">
        <v>249</v>
      </c>
      <c r="C3" t="s">
        <v>251</v>
      </c>
    </row>
    <row r="4" spans="2:12">
      <c r="B4" s="335"/>
      <c r="C4" t="s">
        <v>251</v>
      </c>
    </row>
    <row r="11" spans="2:12">
      <c r="L11">
        <v>112</v>
      </c>
    </row>
    <row r="12" spans="2:12">
      <c r="L12">
        <v>76</v>
      </c>
    </row>
    <row r="13" spans="2:12">
      <c r="L13">
        <f>L11-L12</f>
        <v>36</v>
      </c>
    </row>
  </sheetData>
  <pageMargins left="0.7" right="0.7" top="0.75" bottom="0.75" header="0.3" footer="0.3"/>
  <pageSetup orientation="portrait" horizontalDpi="180" verticalDpi="18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B2:I22"/>
  <sheetViews>
    <sheetView zoomScale="85" zoomScaleNormal="85" workbookViewId="0">
      <selection activeCell="F21" sqref="F21"/>
    </sheetView>
  </sheetViews>
  <sheetFormatPr defaultRowHeight="12.75"/>
  <cols>
    <col min="2" max="2" width="9.85546875" bestFit="1" customWidth="1"/>
    <col min="3" max="3" width="14.7109375" bestFit="1" customWidth="1"/>
    <col min="5" max="5" width="18" bestFit="1" customWidth="1"/>
    <col min="6" max="9" width="19.85546875" customWidth="1"/>
  </cols>
  <sheetData>
    <row r="2" spans="2:9" ht="19.5">
      <c r="B2" s="422" t="s">
        <v>293</v>
      </c>
      <c r="C2" s="423" t="s">
        <v>294</v>
      </c>
      <c r="E2" s="426" t="s">
        <v>314</v>
      </c>
      <c r="F2" s="427">
        <v>10000</v>
      </c>
      <c r="G2" s="428"/>
      <c r="H2" s="428"/>
      <c r="I2" s="428"/>
    </row>
    <row r="3" spans="2:9" ht="38.25" customHeight="1" thickBot="1">
      <c r="B3" s="424">
        <v>0</v>
      </c>
      <c r="C3" s="425"/>
      <c r="E3" s="429" t="s">
        <v>294</v>
      </c>
      <c r="F3" s="642" t="str">
        <f>PROPER(TRIM(F11&amp;" "&amp;G11&amp;" "&amp;H11&amp;" "&amp;I11))</f>
        <v>Sepuluh Ribu</v>
      </c>
      <c r="G3" s="642"/>
      <c r="H3" s="642"/>
      <c r="I3" s="642"/>
    </row>
    <row r="4" spans="2:9" ht="16.5" thickTop="1" thickBot="1">
      <c r="B4" s="424">
        <v>1</v>
      </c>
      <c r="C4" s="425" t="s">
        <v>295</v>
      </c>
      <c r="E4" s="430" t="s">
        <v>315</v>
      </c>
      <c r="F4" s="431">
        <v>1</v>
      </c>
      <c r="G4" s="431">
        <v>4</v>
      </c>
      <c r="H4" s="431">
        <v>7</v>
      </c>
      <c r="I4" s="432">
        <v>10</v>
      </c>
    </row>
    <row r="5" spans="2:9" ht="16.5" thickTop="1" thickBot="1">
      <c r="B5" s="424">
        <v>2</v>
      </c>
      <c r="C5" s="425" t="s">
        <v>296</v>
      </c>
      <c r="E5" s="433" t="s">
        <v>316</v>
      </c>
      <c r="F5" s="434">
        <v>3</v>
      </c>
      <c r="G5" s="434">
        <v>3</v>
      </c>
      <c r="H5" s="434">
        <v>3</v>
      </c>
      <c r="I5" s="435">
        <v>3</v>
      </c>
    </row>
    <row r="6" spans="2:9" ht="16.5" thickTop="1" thickBot="1">
      <c r="B6" s="424">
        <v>3</v>
      </c>
      <c r="C6" s="425" t="s">
        <v>297</v>
      </c>
      <c r="E6" s="436" t="s">
        <v>317</v>
      </c>
      <c r="F6" s="437">
        <f>--MID(TEXT(TRUNC(N($F$2),0),REPT(0,12)),F4,F5)</f>
        <v>0</v>
      </c>
      <c r="G6" s="437">
        <f>--MID(TEXT(TRUNC(N($F$2),0),REPT(0,12)),G4,G5)</f>
        <v>0</v>
      </c>
      <c r="H6" s="437">
        <f>--MID(TEXT(TRUNC(N($F$2),0),REPT(0,12)),H4,H5)</f>
        <v>10</v>
      </c>
      <c r="I6" s="438">
        <f>--MID(TEXT(TRUNC(N($F$2),0),REPT(0,12)),I4,I5)</f>
        <v>0</v>
      </c>
    </row>
    <row r="7" spans="2:9" ht="15.75" thickTop="1">
      <c r="B7" s="424">
        <v>4</v>
      </c>
      <c r="C7" s="425" t="s">
        <v>298</v>
      </c>
      <c r="E7" s="439" t="s">
        <v>318</v>
      </c>
      <c r="F7" s="440">
        <f>N("Ambil angka Milyar")+--MID(TEXT(N(F$6),REPT(0,3)),1,1)</f>
        <v>0</v>
      </c>
      <c r="G7" s="440">
        <f>--MID(TEXT(N(G$6),REPT(0,3)),1,1)</f>
        <v>0</v>
      </c>
      <c r="H7" s="440">
        <f>--MID(TEXT(N(H$6),REPT(0,3)),1,1)</f>
        <v>0</v>
      </c>
      <c r="I7" s="440">
        <f>--MID(TEXT(N(I$6),REPT(0,3)),1,1)</f>
        <v>0</v>
      </c>
    </row>
    <row r="8" spans="2:9" ht="15">
      <c r="B8" s="424">
        <v>5</v>
      </c>
      <c r="C8" s="425" t="s">
        <v>299</v>
      </c>
      <c r="E8" s="441" t="s">
        <v>319</v>
      </c>
      <c r="F8" s="442">
        <f>N("Bila digit pertama angka puluhan &gt; 1 MAKA hasilkan 1 digit angka depannya BILA TIDAK hasilkan Nol")+IF(--MID(TEXT(N(F$6),REPT(0,3)),2,1)&gt;1,--MID(TEXT(N(F$6),REPT(0,3)),2,1),0)</f>
        <v>0</v>
      </c>
      <c r="G8" s="442">
        <f>N("Bila digit pertama angka puluhan &gt; 1 MAKA hasilkan 1 digit angka depannya BILA TIDAK hasilkan Nol")+IF(--MID(TEXT(N(G$6),REPT(0,3)),2,1)&gt;1,--MID(TEXT(N(G$6),REPT(0,3)),2,1),0)</f>
        <v>0</v>
      </c>
      <c r="H8" s="442">
        <f>N("Bila digit pertama angka puluhan &gt; 1 MAKA hasilkan 1 digit angka depannya BILA TIDAK hasilkan Nol")+IF(--MID(TEXT(N(H$6),REPT(0,3)),2,1)&gt;1,--MID(TEXT(N(H$6),REPT(0,3)),2,1),0)</f>
        <v>0</v>
      </c>
      <c r="I8" s="442">
        <f>N("Bila digit pertama angka puluhan &gt; 1 MAKA hasilkan 1 digit angka depannya BILA TIDAK hasilkan Nol")+IF(--MID(TEXT(N(I$6),REPT(0,3)),2,1)&gt;1,--MID(TEXT(N(I$6),REPT(0,3)),2,1),0)</f>
        <v>0</v>
      </c>
    </row>
    <row r="9" spans="2:9" ht="15">
      <c r="B9" s="424">
        <v>6</v>
      </c>
      <c r="C9" s="425" t="s">
        <v>300</v>
      </c>
      <c r="E9" s="441" t="s">
        <v>320</v>
      </c>
      <c r="F9" s="442">
        <f>N("Bila 2 digit terakhir &gt; 19 MAKA hasilkan 1 digit terakhir BILA TIDAK hasilkan 2 digit terakhir")+IF(--MID(TEXT(N(F$6),REPT(0,3)),2,2)&gt;19,--MID(TEXT(N(F$6),REPT(0,3)),3,1),--MID(TEXT(N(F$6),REPT(0,3)),2,2))</f>
        <v>0</v>
      </c>
      <c r="G9" s="442">
        <f>N("Bila 2 digit terakhir &gt; 19 MAKA hasilkan 1 digit terakhir BILA TIDAK hasilkan 2 digit terakhir")+IF(--MID(TEXT(N(G$6),REPT(0,3)),2,2)&gt;19,--MID(TEXT(N(G$6),REPT(0,3)),3,1),--MID(TEXT(N(G$6),REPT(0,3)),2,2))</f>
        <v>0</v>
      </c>
      <c r="H9" s="442">
        <f>N("Bila 2 digit terakhir &gt; 19 MAKA hasilkan 1 digit terakhir BILA TIDAK hasilkan 2 digit terakhir")+IF(--MID(TEXT(N(H$6),REPT(0,3)),2,2)&gt;19,--MID(TEXT(N(H$6),REPT(0,3)),3,1),--MID(TEXT(N(H$6),REPT(0,3)),2,2))</f>
        <v>10</v>
      </c>
      <c r="I9" s="442">
        <f>N("Bila 2 digit terakhir &gt; 19 MAKA hasilkan 1 digit terakhir BILA TIDAK hasilkan 2 digit terakhir")+IF(--MID(TEXT(N(I$6),REPT(0,3)),2,2)&gt;19,--MID(TEXT(N(I$6),REPT(0,3)),3,1),--MID(TEXT(N(I$6),REPT(0,3)),2,2))</f>
        <v>0</v>
      </c>
    </row>
    <row r="10" spans="2:9" ht="15">
      <c r="B10" s="424">
        <v>7</v>
      </c>
      <c r="C10" s="425" t="s">
        <v>301</v>
      </c>
      <c r="E10" s="443" t="s">
        <v>321</v>
      </c>
      <c r="F10" s="444" t="str">
        <f>IF(F7=0," ",VLOOKUP(F7,[6]!tblTerbilang[#Data],2,0)&amp;" ratus ")&amp;IF(F8=0," ",VLOOKUP(F8,[6]!tblTerbilang[#Data],2,0)&amp;" puluh ")&amp;IF(F9=0," ",VLOOKUP(F9,[6]!tblTerbilang[#Data],2,0))&amp;IF(SUM(F7:F9)=0," "," milyar ")</f>
        <v xml:space="preserve">    </v>
      </c>
      <c r="G10" s="444" t="str">
        <f>IF(G7=0," ",VLOOKUP(G7,[6]!tblTerbilang[#Data],2,0)&amp;" ratus ")&amp;IF(G8=0," ",VLOOKUP(G8,[6]!tblTerbilang[#Data],2,0)&amp;" puluh ")&amp;IF(G9=0," ",VLOOKUP(G9,[6]!tblTerbilang[#Data],2,0))&amp;IF(SUM(G7:G9)=0," "," juta ")</f>
        <v xml:space="preserve">    </v>
      </c>
      <c r="H10" s="444" t="str">
        <f>IF(H7=0," ",VLOOKUP(H7,[6]!tblTerbilang[#Data],2,0)&amp;" ratus ")&amp;IF(H8=0," ",VLOOKUP(H8,[6]!tblTerbilang[#Data],2,0)&amp;" puluh ")&amp;IF(H9=0," ",VLOOKUP(H9,[6]!tblTerbilang[#Data],2,0))&amp;IF(SUM(H7:H9)=0," "," ribu ")</f>
        <v xml:space="preserve">  sepuluh ribu </v>
      </c>
      <c r="I10" s="444" t="str">
        <f>IF(I7=0," ",VLOOKUP(I7,[6]!tblTerbilang[#Data],2,0)&amp;" ratus ")&amp;IF(I8=0," ",VLOOKUP(I8,[6]!tblTerbilang[#Data],2,0)&amp;" puluh ")&amp;IF(I9=0," ",VLOOKUP(I9,[6]!tblTerbilang[#Data],2,0)&amp;" ")</f>
        <v xml:space="preserve">   </v>
      </c>
    </row>
    <row r="11" spans="2:9" ht="15">
      <c r="B11" s="424">
        <v>8</v>
      </c>
      <c r="C11" s="425" t="s">
        <v>302</v>
      </c>
      <c r="E11" s="445" t="s">
        <v>322</v>
      </c>
      <c r="F11" s="446" t="str">
        <f>TRIM(SUBSTITUTE(SUBSTITUTE(IF(F6=1,SUBSTITUTE(TRIM(F10),"satu ribu"," seribu "),TRIM(F10)),"satu ratus"," seratus "),"satu puluh"," sepuluh "))</f>
        <v/>
      </c>
      <c r="G11" s="446" t="str">
        <f>TRIM(SUBSTITUTE(SUBSTITUTE(IF(G6=1,SUBSTITUTE(TRIM(G10),"satu ribu"," seribu "),TRIM(G10)),"satu ratus"," seratus "),"satu puluh"," sepuluh "))</f>
        <v/>
      </c>
      <c r="H11" s="446" t="str">
        <f>TRIM(SUBSTITUTE(SUBSTITUTE(IF(H6=1,SUBSTITUTE(TRIM(H10),"satu ribu"," seribu "),TRIM(H10)),"satu ratus"," seratus "),"satu puluh"," sepuluh "))</f>
        <v>sepuluh ribu</v>
      </c>
      <c r="I11" s="446" t="str">
        <f>TRIM(SUBSTITUTE(SUBSTITUTE(IF(I6=1,SUBSTITUTE(TRIM(I10),"satu ribu"," seribu "),TRIM(I10)),"satu ratus"," seratus "),"satu puluh"," sepuluh "))</f>
        <v/>
      </c>
    </row>
    <row r="12" spans="2:9">
      <c r="B12" s="424">
        <v>9</v>
      </c>
      <c r="C12" s="425" t="s">
        <v>303</v>
      </c>
    </row>
    <row r="13" spans="2:9">
      <c r="B13" s="424">
        <v>10</v>
      </c>
      <c r="C13" s="425" t="s">
        <v>304</v>
      </c>
    </row>
    <row r="14" spans="2:9">
      <c r="B14" s="424">
        <v>11</v>
      </c>
      <c r="C14" s="425" t="s">
        <v>305</v>
      </c>
    </row>
    <row r="15" spans="2:9">
      <c r="B15" s="424">
        <v>12</v>
      </c>
      <c r="C15" s="425" t="s">
        <v>306</v>
      </c>
    </row>
    <row r="16" spans="2:9">
      <c r="B16" s="424">
        <v>13</v>
      </c>
      <c r="C16" s="425" t="s">
        <v>307</v>
      </c>
    </row>
    <row r="17" spans="2:3">
      <c r="B17" s="424">
        <v>14</v>
      </c>
      <c r="C17" s="425" t="s">
        <v>308</v>
      </c>
    </row>
    <row r="18" spans="2:3">
      <c r="B18" s="424">
        <v>15</v>
      </c>
      <c r="C18" s="425" t="s">
        <v>309</v>
      </c>
    </row>
    <row r="19" spans="2:3">
      <c r="B19" s="424">
        <v>16</v>
      </c>
      <c r="C19" s="425" t="s">
        <v>310</v>
      </c>
    </row>
    <row r="20" spans="2:3">
      <c r="B20" s="424">
        <v>17</v>
      </c>
      <c r="C20" s="425" t="s">
        <v>311</v>
      </c>
    </row>
    <row r="21" spans="2:3">
      <c r="B21" s="424">
        <v>18</v>
      </c>
      <c r="C21" s="425" t="s">
        <v>312</v>
      </c>
    </row>
    <row r="22" spans="2:3">
      <c r="B22" s="424">
        <v>19</v>
      </c>
      <c r="C22" s="425" t="s">
        <v>313</v>
      </c>
    </row>
  </sheetData>
  <mergeCells count="1">
    <mergeCell ref="F3:I3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LsData"/>
  <dimension ref="A1:O3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0" sqref="F20"/>
    </sheetView>
  </sheetViews>
  <sheetFormatPr defaultColWidth="2.85546875" defaultRowHeight="12.75"/>
  <cols>
    <col min="1" max="1" width="11" style="205" bestFit="1" customWidth="1"/>
    <col min="2" max="2" width="12" style="205" bestFit="1" customWidth="1"/>
    <col min="3" max="3" width="12.85546875" style="205" bestFit="1" customWidth="1"/>
    <col min="4" max="4" width="10.42578125" style="205" bestFit="1" customWidth="1"/>
    <col min="5" max="5" width="10.140625" style="205" bestFit="1" customWidth="1"/>
    <col min="6" max="6" width="12" style="205" bestFit="1" customWidth="1"/>
    <col min="7" max="7" width="11.7109375" style="205" bestFit="1" customWidth="1"/>
    <col min="8" max="8" width="12.85546875" style="205" bestFit="1" customWidth="1"/>
    <col min="9" max="9" width="12.5703125" style="205" bestFit="1" customWidth="1"/>
    <col min="10" max="10" width="7.42578125" style="205" bestFit="1" customWidth="1"/>
    <col min="11" max="11" width="9.85546875" style="205" bestFit="1" customWidth="1"/>
    <col min="12" max="12" width="9.5703125" style="205" bestFit="1" customWidth="1"/>
    <col min="13" max="13" width="6.140625" style="205" bestFit="1" customWidth="1"/>
    <col min="14" max="14" width="4.7109375" style="205" bestFit="1" customWidth="1"/>
    <col min="15" max="15" width="11.7109375" style="205" bestFit="1" customWidth="1"/>
    <col min="16" max="16384" width="2.85546875" style="205"/>
  </cols>
  <sheetData>
    <row r="1" spans="1:15" ht="30.75" customHeight="1">
      <c r="A1" s="554" t="s">
        <v>121</v>
      </c>
      <c r="B1" s="554" t="s">
        <v>451</v>
      </c>
      <c r="C1" s="554" t="s">
        <v>452</v>
      </c>
      <c r="D1" s="554" t="s">
        <v>453</v>
      </c>
      <c r="E1" s="554" t="s">
        <v>454</v>
      </c>
      <c r="F1" s="554" t="s">
        <v>455</v>
      </c>
      <c r="G1" s="554" t="s">
        <v>456</v>
      </c>
      <c r="H1" s="554" t="s">
        <v>457</v>
      </c>
      <c r="I1" s="554" t="s">
        <v>458</v>
      </c>
      <c r="J1" s="554" t="s">
        <v>459</v>
      </c>
      <c r="K1" s="554" t="s">
        <v>460</v>
      </c>
      <c r="L1" s="554" t="s">
        <v>461</v>
      </c>
      <c r="M1" s="554" t="s">
        <v>450</v>
      </c>
      <c r="N1" s="554" t="s">
        <v>462</v>
      </c>
      <c r="O1" s="554" t="s">
        <v>119</v>
      </c>
    </row>
    <row r="2" spans="1:15">
      <c r="A2" s="550">
        <v>43831</v>
      </c>
      <c r="B2" s="551">
        <v>0</v>
      </c>
      <c r="C2" s="551">
        <v>0</v>
      </c>
      <c r="D2" s="551"/>
      <c r="E2" s="551"/>
      <c r="F2" s="551">
        <v>0</v>
      </c>
      <c r="G2" s="551">
        <v>0</v>
      </c>
      <c r="H2" s="551">
        <v>0</v>
      </c>
      <c r="I2" s="551">
        <v>0</v>
      </c>
      <c r="J2" s="551"/>
      <c r="K2" s="551"/>
      <c r="L2" s="551"/>
      <c r="M2" s="551"/>
      <c r="N2" s="551">
        <v>0</v>
      </c>
      <c r="O2" s="552" t="s">
        <v>250</v>
      </c>
    </row>
    <row r="3" spans="1:15">
      <c r="A3" s="550">
        <v>43832</v>
      </c>
      <c r="B3" s="551">
        <v>0</v>
      </c>
      <c r="C3" s="551">
        <v>133620</v>
      </c>
      <c r="D3" s="551"/>
      <c r="E3" s="551"/>
      <c r="F3" s="551">
        <v>0</v>
      </c>
      <c r="G3" s="551">
        <v>0</v>
      </c>
      <c r="H3" s="551">
        <v>0</v>
      </c>
      <c r="I3" s="551">
        <v>0</v>
      </c>
      <c r="J3" s="551"/>
      <c r="K3" s="551"/>
      <c r="L3" s="551"/>
      <c r="M3" s="551"/>
      <c r="N3" s="551">
        <v>0</v>
      </c>
      <c r="O3" s="552" t="s">
        <v>250</v>
      </c>
    </row>
    <row r="4" spans="1:15">
      <c r="A4" s="550">
        <v>43833</v>
      </c>
      <c r="B4" s="551">
        <v>35710</v>
      </c>
      <c r="C4" s="551">
        <v>89080</v>
      </c>
      <c r="D4" s="551"/>
      <c r="E4" s="551"/>
      <c r="F4" s="551">
        <v>0</v>
      </c>
      <c r="G4" s="551">
        <v>0</v>
      </c>
      <c r="H4" s="551">
        <v>0</v>
      </c>
      <c r="I4" s="551">
        <v>0</v>
      </c>
      <c r="J4" s="551"/>
      <c r="K4" s="551"/>
      <c r="L4" s="551"/>
      <c r="M4" s="551"/>
      <c r="N4" s="551">
        <v>0</v>
      </c>
      <c r="O4" s="552" t="s">
        <v>250</v>
      </c>
    </row>
    <row r="5" spans="1:15">
      <c r="A5" s="550">
        <v>43834</v>
      </c>
      <c r="B5" s="551">
        <v>13470</v>
      </c>
      <c r="C5" s="551">
        <v>15450</v>
      </c>
      <c r="D5" s="551"/>
      <c r="E5" s="551"/>
      <c r="F5" s="551">
        <v>0</v>
      </c>
      <c r="G5" s="551">
        <v>0</v>
      </c>
      <c r="H5" s="551">
        <v>0</v>
      </c>
      <c r="I5" s="551">
        <v>0</v>
      </c>
      <c r="J5" s="551"/>
      <c r="K5" s="551"/>
      <c r="L5" s="551"/>
      <c r="M5" s="551"/>
      <c r="N5" s="551">
        <v>0</v>
      </c>
      <c r="O5" s="552" t="s">
        <v>250</v>
      </c>
    </row>
    <row r="6" spans="1:15">
      <c r="A6" s="550">
        <v>43835</v>
      </c>
      <c r="B6" s="551">
        <v>0</v>
      </c>
      <c r="C6" s="551">
        <v>0</v>
      </c>
      <c r="D6" s="551"/>
      <c r="E6" s="551"/>
      <c r="F6" s="551">
        <v>0</v>
      </c>
      <c r="G6" s="551">
        <v>0</v>
      </c>
      <c r="H6" s="551">
        <v>0</v>
      </c>
      <c r="I6" s="551">
        <v>0</v>
      </c>
      <c r="J6" s="551"/>
      <c r="K6" s="551"/>
      <c r="L6" s="551"/>
      <c r="M6" s="551"/>
      <c r="N6" s="551">
        <v>0</v>
      </c>
      <c r="O6" s="552" t="s">
        <v>250</v>
      </c>
    </row>
    <row r="7" spans="1:15">
      <c r="A7" s="550">
        <v>43836</v>
      </c>
      <c r="B7" s="551">
        <v>18130</v>
      </c>
      <c r="C7" s="551">
        <v>112210</v>
      </c>
      <c r="D7" s="551"/>
      <c r="E7" s="551"/>
      <c r="F7" s="551">
        <v>0</v>
      </c>
      <c r="G7" s="551">
        <v>0</v>
      </c>
      <c r="H7" s="551">
        <v>0</v>
      </c>
      <c r="I7" s="551">
        <v>0</v>
      </c>
      <c r="J7" s="551"/>
      <c r="K7" s="551"/>
      <c r="L7" s="551"/>
      <c r="M7" s="551"/>
      <c r="N7" s="551">
        <v>0</v>
      </c>
      <c r="O7" s="552" t="s">
        <v>250</v>
      </c>
    </row>
    <row r="8" spans="1:15">
      <c r="A8" s="550">
        <v>43837</v>
      </c>
      <c r="B8" s="551">
        <v>7690</v>
      </c>
      <c r="C8" s="551">
        <v>34970</v>
      </c>
      <c r="D8" s="551"/>
      <c r="E8" s="551"/>
      <c r="F8" s="551">
        <v>0</v>
      </c>
      <c r="G8" s="551">
        <v>0</v>
      </c>
      <c r="H8" s="551">
        <v>0</v>
      </c>
      <c r="I8" s="551">
        <v>0</v>
      </c>
      <c r="J8" s="551"/>
      <c r="K8" s="551"/>
      <c r="L8" s="551"/>
      <c r="M8" s="551"/>
      <c r="N8" s="551">
        <v>0</v>
      </c>
      <c r="O8" s="552" t="s">
        <v>250</v>
      </c>
    </row>
    <row r="9" spans="1:15">
      <c r="A9" s="550">
        <v>43838</v>
      </c>
      <c r="B9" s="551">
        <v>20190</v>
      </c>
      <c r="C9" s="551">
        <v>41490</v>
      </c>
      <c r="D9" s="551"/>
      <c r="E9" s="551"/>
      <c r="F9" s="551">
        <v>0</v>
      </c>
      <c r="G9" s="551">
        <v>0</v>
      </c>
      <c r="H9" s="551">
        <v>0</v>
      </c>
      <c r="I9" s="551">
        <v>0</v>
      </c>
      <c r="J9" s="551"/>
      <c r="K9" s="551"/>
      <c r="L9" s="551"/>
      <c r="M9" s="551"/>
      <c r="N9" s="551">
        <v>0</v>
      </c>
      <c r="O9" s="552" t="s">
        <v>250</v>
      </c>
    </row>
    <row r="10" spans="1:15">
      <c r="A10" s="550">
        <v>43839</v>
      </c>
      <c r="B10" s="551">
        <v>12610</v>
      </c>
      <c r="C10" s="551">
        <v>107750</v>
      </c>
      <c r="D10" s="551"/>
      <c r="E10" s="551"/>
      <c r="F10" s="551">
        <v>0</v>
      </c>
      <c r="G10" s="551">
        <v>0</v>
      </c>
      <c r="H10" s="551">
        <v>0</v>
      </c>
      <c r="I10" s="551">
        <v>0</v>
      </c>
      <c r="J10" s="551"/>
      <c r="K10" s="551"/>
      <c r="L10" s="551"/>
      <c r="M10" s="551"/>
      <c r="N10" s="551">
        <v>0</v>
      </c>
      <c r="O10" s="552" t="s">
        <v>250</v>
      </c>
    </row>
    <row r="11" spans="1:15">
      <c r="A11" s="550">
        <v>43840</v>
      </c>
      <c r="B11" s="551">
        <v>14500</v>
      </c>
      <c r="C11" s="551">
        <v>0</v>
      </c>
      <c r="D11" s="551"/>
      <c r="E11" s="551"/>
      <c r="F11" s="551">
        <v>0</v>
      </c>
      <c r="G11" s="551">
        <v>0</v>
      </c>
      <c r="H11" s="551">
        <v>0</v>
      </c>
      <c r="I11" s="551">
        <v>0</v>
      </c>
      <c r="J11" s="551"/>
      <c r="K11" s="551"/>
      <c r="L11" s="551"/>
      <c r="M11" s="551"/>
      <c r="N11" s="551">
        <v>0</v>
      </c>
      <c r="O11" s="552" t="s">
        <v>250</v>
      </c>
    </row>
    <row r="12" spans="1:15">
      <c r="A12" s="550">
        <v>43841</v>
      </c>
      <c r="B12" s="551">
        <v>12810</v>
      </c>
      <c r="C12" s="551">
        <v>22380</v>
      </c>
      <c r="D12" s="551"/>
      <c r="E12" s="551"/>
      <c r="F12" s="551">
        <v>0</v>
      </c>
      <c r="G12" s="551">
        <v>0</v>
      </c>
      <c r="H12" s="551">
        <v>0</v>
      </c>
      <c r="I12" s="551">
        <v>0</v>
      </c>
      <c r="J12" s="551"/>
      <c r="K12" s="551"/>
      <c r="L12" s="551"/>
      <c r="M12" s="551"/>
      <c r="N12" s="551">
        <v>0</v>
      </c>
      <c r="O12" s="552" t="s">
        <v>250</v>
      </c>
    </row>
    <row r="13" spans="1:15">
      <c r="A13" s="550">
        <v>43842</v>
      </c>
      <c r="B13" s="551">
        <v>0</v>
      </c>
      <c r="C13" s="551">
        <v>0</v>
      </c>
      <c r="D13" s="551"/>
      <c r="E13" s="551"/>
      <c r="F13" s="551">
        <v>0</v>
      </c>
      <c r="G13" s="551">
        <v>0</v>
      </c>
      <c r="H13" s="551">
        <v>0</v>
      </c>
      <c r="I13" s="551">
        <v>0</v>
      </c>
      <c r="J13" s="551"/>
      <c r="K13" s="551"/>
      <c r="L13" s="551"/>
      <c r="M13" s="551"/>
      <c r="N13" s="551">
        <v>0</v>
      </c>
      <c r="O13" s="552" t="s">
        <v>250</v>
      </c>
    </row>
    <row r="14" spans="1:15">
      <c r="A14" s="550">
        <v>43843</v>
      </c>
      <c r="B14" s="551">
        <v>17460</v>
      </c>
      <c r="C14" s="551">
        <v>131240</v>
      </c>
      <c r="D14" s="551"/>
      <c r="E14" s="551"/>
      <c r="F14" s="551">
        <v>0</v>
      </c>
      <c r="G14" s="551">
        <v>0</v>
      </c>
      <c r="H14" s="551">
        <v>0</v>
      </c>
      <c r="I14" s="551">
        <v>0</v>
      </c>
      <c r="J14" s="551"/>
      <c r="K14" s="551"/>
      <c r="L14" s="551"/>
      <c r="M14" s="551"/>
      <c r="N14" s="551">
        <v>0</v>
      </c>
      <c r="O14" s="552" t="s">
        <v>250</v>
      </c>
    </row>
    <row r="15" spans="1:15">
      <c r="A15" s="550">
        <v>43844</v>
      </c>
      <c r="B15" s="551">
        <v>9530</v>
      </c>
      <c r="C15" s="551">
        <v>89520</v>
      </c>
      <c r="D15" s="551"/>
      <c r="E15" s="551"/>
      <c r="F15" s="551">
        <v>0</v>
      </c>
      <c r="G15" s="551">
        <v>0</v>
      </c>
      <c r="H15" s="551">
        <v>0</v>
      </c>
      <c r="I15" s="551">
        <v>0</v>
      </c>
      <c r="J15" s="551"/>
      <c r="K15" s="551"/>
      <c r="L15" s="551"/>
      <c r="M15" s="551"/>
      <c r="N15" s="551">
        <v>0</v>
      </c>
      <c r="O15" s="552" t="s">
        <v>250</v>
      </c>
    </row>
    <row r="16" spans="1:15">
      <c r="A16" s="550">
        <v>43845</v>
      </c>
      <c r="B16" s="551">
        <v>6070</v>
      </c>
      <c r="C16" s="551">
        <v>163820</v>
      </c>
      <c r="D16" s="551"/>
      <c r="E16" s="551"/>
      <c r="F16" s="551">
        <v>0</v>
      </c>
      <c r="G16" s="551">
        <v>0</v>
      </c>
      <c r="H16" s="551">
        <v>0</v>
      </c>
      <c r="I16" s="551">
        <v>0</v>
      </c>
      <c r="J16" s="551"/>
      <c r="K16" s="551"/>
      <c r="L16" s="551"/>
      <c r="M16" s="551"/>
      <c r="N16" s="551">
        <v>0</v>
      </c>
      <c r="O16" s="552" t="s">
        <v>250</v>
      </c>
    </row>
    <row r="17" spans="1:15">
      <c r="A17" s="550">
        <v>43846</v>
      </c>
      <c r="B17" s="551">
        <v>7350</v>
      </c>
      <c r="C17" s="551">
        <v>4600</v>
      </c>
      <c r="D17" s="551"/>
      <c r="E17" s="551"/>
      <c r="F17" s="551">
        <v>0</v>
      </c>
      <c r="G17" s="551">
        <v>0</v>
      </c>
      <c r="H17" s="551">
        <v>0</v>
      </c>
      <c r="I17" s="551">
        <v>0</v>
      </c>
      <c r="J17" s="551"/>
      <c r="K17" s="551"/>
      <c r="L17" s="551"/>
      <c r="M17" s="551"/>
      <c r="N17" s="551">
        <v>0</v>
      </c>
      <c r="O17" s="552" t="s">
        <v>250</v>
      </c>
    </row>
    <row r="18" spans="1:15">
      <c r="A18" s="550">
        <v>43847</v>
      </c>
      <c r="B18" s="551">
        <v>10600</v>
      </c>
      <c r="C18" s="551">
        <v>6070</v>
      </c>
      <c r="D18" s="551"/>
      <c r="E18" s="551"/>
      <c r="F18" s="551">
        <v>0</v>
      </c>
      <c r="G18" s="551">
        <v>0</v>
      </c>
      <c r="H18" s="551">
        <v>0</v>
      </c>
      <c r="I18" s="551">
        <v>0</v>
      </c>
      <c r="J18" s="551"/>
      <c r="K18" s="551"/>
      <c r="L18" s="551"/>
      <c r="M18" s="551"/>
      <c r="N18" s="551">
        <v>0</v>
      </c>
      <c r="O18" s="552" t="s">
        <v>250</v>
      </c>
    </row>
    <row r="19" spans="1:15">
      <c r="A19" s="550">
        <v>43848</v>
      </c>
      <c r="B19" s="551">
        <v>25600</v>
      </c>
      <c r="C19" s="551">
        <v>9540</v>
      </c>
      <c r="D19" s="551"/>
      <c r="E19" s="551"/>
      <c r="F19" s="551">
        <v>0</v>
      </c>
      <c r="G19" s="551">
        <v>0</v>
      </c>
      <c r="H19" s="551">
        <v>0</v>
      </c>
      <c r="I19" s="551">
        <v>0</v>
      </c>
      <c r="J19" s="551"/>
      <c r="K19" s="551"/>
      <c r="L19" s="551"/>
      <c r="M19" s="551"/>
      <c r="N19" s="551">
        <v>0</v>
      </c>
      <c r="O19" s="552" t="s">
        <v>250</v>
      </c>
    </row>
    <row r="20" spans="1:15">
      <c r="A20" s="550">
        <v>43849</v>
      </c>
      <c r="B20" s="551">
        <v>0</v>
      </c>
      <c r="C20" s="551">
        <v>0</v>
      </c>
      <c r="D20" s="551"/>
      <c r="E20" s="551"/>
      <c r="F20" s="551">
        <v>0</v>
      </c>
      <c r="G20" s="551">
        <v>0</v>
      </c>
      <c r="H20" s="551">
        <v>0</v>
      </c>
      <c r="I20" s="551">
        <v>0</v>
      </c>
      <c r="J20" s="551"/>
      <c r="K20" s="551"/>
      <c r="L20" s="551"/>
      <c r="M20" s="551"/>
      <c r="N20" s="551">
        <v>0</v>
      </c>
      <c r="O20" s="552" t="s">
        <v>250</v>
      </c>
    </row>
    <row r="21" spans="1:15">
      <c r="A21" s="550">
        <v>43850</v>
      </c>
      <c r="B21" s="551">
        <v>33380</v>
      </c>
      <c r="C21" s="551">
        <v>200880</v>
      </c>
      <c r="D21" s="551"/>
      <c r="E21" s="551"/>
      <c r="F21" s="551">
        <v>0</v>
      </c>
      <c r="G21" s="551">
        <v>0</v>
      </c>
      <c r="H21" s="551">
        <v>0</v>
      </c>
      <c r="I21" s="551">
        <v>0</v>
      </c>
      <c r="J21" s="551"/>
      <c r="K21" s="551"/>
      <c r="L21" s="551"/>
      <c r="M21" s="551"/>
      <c r="N21" s="551">
        <v>0</v>
      </c>
      <c r="O21" s="552" t="s">
        <v>250</v>
      </c>
    </row>
    <row r="22" spans="1:15">
      <c r="A22" s="550">
        <v>43851</v>
      </c>
      <c r="B22" s="551">
        <v>30560</v>
      </c>
      <c r="C22" s="551">
        <v>200620</v>
      </c>
      <c r="D22" s="551"/>
      <c r="E22" s="551"/>
      <c r="F22" s="551">
        <v>0</v>
      </c>
      <c r="G22" s="551">
        <v>0</v>
      </c>
      <c r="H22" s="551">
        <v>0</v>
      </c>
      <c r="I22" s="551">
        <v>0</v>
      </c>
      <c r="J22" s="551"/>
      <c r="K22" s="551"/>
      <c r="L22" s="551"/>
      <c r="M22" s="551"/>
      <c r="N22" s="551">
        <v>0</v>
      </c>
      <c r="O22" s="552" t="s">
        <v>250</v>
      </c>
    </row>
    <row r="23" spans="1:15">
      <c r="A23" s="550">
        <v>43852</v>
      </c>
      <c r="B23" s="551">
        <v>62190</v>
      </c>
      <c r="C23" s="551">
        <v>67340</v>
      </c>
      <c r="D23" s="551"/>
      <c r="E23" s="551"/>
      <c r="F23" s="551">
        <v>0</v>
      </c>
      <c r="G23" s="551">
        <v>0</v>
      </c>
      <c r="H23" s="551">
        <v>0</v>
      </c>
      <c r="I23" s="551">
        <v>0</v>
      </c>
      <c r="J23" s="551"/>
      <c r="K23" s="551"/>
      <c r="L23" s="551"/>
      <c r="M23" s="551"/>
      <c r="N23" s="551">
        <v>0</v>
      </c>
      <c r="O23" s="552" t="s">
        <v>250</v>
      </c>
    </row>
    <row r="24" spans="1:15">
      <c r="A24" s="550">
        <v>43853</v>
      </c>
      <c r="B24" s="551">
        <v>64520</v>
      </c>
      <c r="C24" s="551">
        <v>121960</v>
      </c>
      <c r="D24" s="551"/>
      <c r="E24" s="551"/>
      <c r="F24" s="551">
        <v>0</v>
      </c>
      <c r="G24" s="551">
        <v>0</v>
      </c>
      <c r="H24" s="551">
        <v>0</v>
      </c>
      <c r="I24" s="551">
        <v>0</v>
      </c>
      <c r="J24" s="551"/>
      <c r="K24" s="551"/>
      <c r="L24" s="551"/>
      <c r="M24" s="551"/>
      <c r="N24" s="551">
        <v>0</v>
      </c>
      <c r="O24" s="552" t="s">
        <v>250</v>
      </c>
    </row>
    <row r="25" spans="1:15">
      <c r="A25" s="550">
        <v>43854</v>
      </c>
      <c r="B25" s="551">
        <v>63960</v>
      </c>
      <c r="C25" s="551">
        <v>166060</v>
      </c>
      <c r="D25" s="551"/>
      <c r="E25" s="551"/>
      <c r="F25" s="551">
        <v>0</v>
      </c>
      <c r="G25" s="551">
        <v>0</v>
      </c>
      <c r="H25" s="551">
        <v>0</v>
      </c>
      <c r="I25" s="551">
        <v>0</v>
      </c>
      <c r="J25" s="551"/>
      <c r="K25" s="551"/>
      <c r="L25" s="551"/>
      <c r="M25" s="551"/>
      <c r="N25" s="551">
        <v>0</v>
      </c>
      <c r="O25" s="552" t="s">
        <v>250</v>
      </c>
    </row>
    <row r="26" spans="1:15">
      <c r="A26" s="550">
        <v>43855</v>
      </c>
      <c r="B26" s="551">
        <v>0</v>
      </c>
      <c r="C26" s="551">
        <v>0</v>
      </c>
      <c r="D26" s="551"/>
      <c r="E26" s="551"/>
      <c r="F26" s="551">
        <v>0</v>
      </c>
      <c r="G26" s="551">
        <v>0</v>
      </c>
      <c r="H26" s="551">
        <v>0</v>
      </c>
      <c r="I26" s="551">
        <v>0</v>
      </c>
      <c r="J26" s="551"/>
      <c r="K26" s="551"/>
      <c r="L26" s="551"/>
      <c r="M26" s="551"/>
      <c r="N26" s="551">
        <v>0</v>
      </c>
      <c r="O26" s="552" t="s">
        <v>250</v>
      </c>
    </row>
    <row r="27" spans="1:15">
      <c r="A27" s="550">
        <v>43856</v>
      </c>
      <c r="B27" s="551">
        <v>0</v>
      </c>
      <c r="C27" s="551">
        <v>0</v>
      </c>
      <c r="D27" s="551"/>
      <c r="E27" s="551"/>
      <c r="F27" s="551">
        <v>0</v>
      </c>
      <c r="G27" s="551">
        <v>0</v>
      </c>
      <c r="H27" s="551">
        <v>0</v>
      </c>
      <c r="I27" s="551">
        <v>0</v>
      </c>
      <c r="J27" s="551"/>
      <c r="K27" s="551"/>
      <c r="L27" s="551"/>
      <c r="M27" s="551"/>
      <c r="N27" s="551">
        <v>0</v>
      </c>
      <c r="O27" s="552" t="s">
        <v>250</v>
      </c>
    </row>
    <row r="28" spans="1:15">
      <c r="A28" s="550">
        <v>43857</v>
      </c>
      <c r="B28" s="551">
        <v>0</v>
      </c>
      <c r="C28" s="551">
        <v>0</v>
      </c>
      <c r="D28" s="551"/>
      <c r="E28" s="551"/>
      <c r="F28" s="551">
        <v>0</v>
      </c>
      <c r="G28" s="551">
        <v>0</v>
      </c>
      <c r="H28" s="551">
        <v>0</v>
      </c>
      <c r="I28" s="551">
        <v>0</v>
      </c>
      <c r="J28" s="551"/>
      <c r="K28" s="551"/>
      <c r="L28" s="551"/>
      <c r="M28" s="551"/>
      <c r="N28" s="551">
        <v>0</v>
      </c>
      <c r="O28" s="552" t="s">
        <v>250</v>
      </c>
    </row>
    <row r="29" spans="1:15">
      <c r="A29" s="550">
        <v>43858</v>
      </c>
      <c r="B29" s="551">
        <v>197060</v>
      </c>
      <c r="C29" s="551">
        <v>165190</v>
      </c>
      <c r="D29" s="551"/>
      <c r="E29" s="551"/>
      <c r="F29" s="551">
        <v>0</v>
      </c>
      <c r="G29" s="551">
        <v>0</v>
      </c>
      <c r="H29" s="551">
        <v>0</v>
      </c>
      <c r="I29" s="551">
        <v>0</v>
      </c>
      <c r="J29" s="551"/>
      <c r="K29" s="551"/>
      <c r="L29" s="551"/>
      <c r="M29" s="551"/>
      <c r="N29" s="551">
        <v>0</v>
      </c>
      <c r="O29" s="552" t="s">
        <v>250</v>
      </c>
    </row>
    <row r="30" spans="1:15">
      <c r="A30" s="550">
        <v>43859</v>
      </c>
      <c r="B30" s="551">
        <v>88050</v>
      </c>
      <c r="C30" s="551">
        <v>192160</v>
      </c>
      <c r="D30" s="551"/>
      <c r="E30" s="551"/>
      <c r="F30" s="551">
        <v>0</v>
      </c>
      <c r="G30" s="551">
        <v>0</v>
      </c>
      <c r="H30" s="551">
        <v>0</v>
      </c>
      <c r="I30" s="551">
        <v>0</v>
      </c>
      <c r="J30" s="551"/>
      <c r="K30" s="551"/>
      <c r="L30" s="551"/>
      <c r="M30" s="551"/>
      <c r="N30" s="551">
        <v>0</v>
      </c>
      <c r="O30" s="552" t="s">
        <v>250</v>
      </c>
    </row>
    <row r="31" spans="1:15">
      <c r="A31" s="550">
        <v>43860</v>
      </c>
      <c r="B31" s="551">
        <v>70900</v>
      </c>
      <c r="C31" s="551">
        <v>337270</v>
      </c>
      <c r="D31" s="551"/>
      <c r="E31" s="551"/>
      <c r="F31" s="551">
        <v>0</v>
      </c>
      <c r="G31" s="551">
        <v>0</v>
      </c>
      <c r="H31" s="551">
        <v>0</v>
      </c>
      <c r="I31" s="551">
        <v>0</v>
      </c>
      <c r="J31" s="551"/>
      <c r="K31" s="551"/>
      <c r="L31" s="551"/>
      <c r="M31" s="551"/>
      <c r="N31" s="551">
        <v>0</v>
      </c>
      <c r="O31" s="552" t="s">
        <v>250</v>
      </c>
    </row>
    <row r="32" spans="1:15">
      <c r="A32" s="550">
        <v>43861</v>
      </c>
      <c r="B32" s="551">
        <v>60070</v>
      </c>
      <c r="C32" s="551">
        <v>352490</v>
      </c>
      <c r="D32" s="551"/>
      <c r="E32" s="551"/>
      <c r="F32" s="551">
        <v>0</v>
      </c>
      <c r="G32" s="551">
        <v>0</v>
      </c>
      <c r="H32" s="551">
        <v>0</v>
      </c>
      <c r="I32" s="551">
        <v>0</v>
      </c>
      <c r="J32" s="551"/>
      <c r="K32" s="551"/>
      <c r="L32" s="551"/>
      <c r="M32" s="551"/>
      <c r="N32" s="551">
        <v>0</v>
      </c>
      <c r="O32" s="552" t="s">
        <v>250</v>
      </c>
    </row>
    <row r="35" spans="2:14" s="555" customFormat="1" ht="22.5" customHeight="1">
      <c r="B35" s="553">
        <f t="shared" ref="B35:N35" si="0">SUM(B2:B34)</f>
        <v>882410</v>
      </c>
      <c r="C35" s="553">
        <f t="shared" si="0"/>
        <v>2765710</v>
      </c>
      <c r="D35" s="553">
        <f t="shared" si="0"/>
        <v>0</v>
      </c>
      <c r="E35" s="553">
        <f t="shared" si="0"/>
        <v>0</v>
      </c>
      <c r="F35" s="553">
        <f t="shared" si="0"/>
        <v>0</v>
      </c>
      <c r="G35" s="553">
        <f t="shared" si="0"/>
        <v>0</v>
      </c>
      <c r="H35" s="553">
        <f t="shared" si="0"/>
        <v>0</v>
      </c>
      <c r="I35" s="553">
        <f t="shared" si="0"/>
        <v>0</v>
      </c>
      <c r="J35" s="553">
        <f t="shared" si="0"/>
        <v>0</v>
      </c>
      <c r="K35" s="553">
        <f t="shared" si="0"/>
        <v>0</v>
      </c>
      <c r="L35" s="553">
        <f t="shared" si="0"/>
        <v>0</v>
      </c>
      <c r="M35" s="553">
        <f t="shared" si="0"/>
        <v>0</v>
      </c>
      <c r="N35" s="553">
        <f t="shared" si="0"/>
        <v>0</v>
      </c>
    </row>
    <row r="36" spans="2:14" s="555" customFormat="1" ht="22.5" customHeight="1">
      <c r="B36" s="556"/>
      <c r="C36" s="553">
        <f>SUM(B35:C35)</f>
        <v>3648120</v>
      </c>
      <c r="D36" s="556"/>
      <c r="E36" s="553">
        <f>SUM(D35:E35)</f>
        <v>0</v>
      </c>
      <c r="F36" s="556"/>
      <c r="G36" s="553">
        <f>SUM(F35:G35)</f>
        <v>0</v>
      </c>
      <c r="H36" s="556"/>
      <c r="I36" s="553">
        <f>SUM(H35:I35)</f>
        <v>0</v>
      </c>
      <c r="J36" s="556"/>
      <c r="K36" s="556"/>
      <c r="L36" s="556"/>
      <c r="M36" s="556"/>
      <c r="N36" s="556"/>
    </row>
  </sheetData>
  <conditionalFormatting sqref="A2:A32">
    <cfRule type="expression" dxfId="1" priority="2">
      <formula>IF(TEXT(A2,"[$-21]dddd;@")="Sabtu",TRUE,FALSE)</formula>
    </cfRule>
  </conditionalFormatting>
  <conditionalFormatting sqref="O2:O32">
    <cfRule type="expression" dxfId="0" priority="1">
      <formula>IF(O2="Rudi",TRUE,FALSE)</formula>
    </cfRule>
  </conditionalFormatting>
  <pageMargins left="0.7" right="0.7" top="0.75" bottom="0.75" header="0.3" footer="0.3"/>
  <pageSetup paperSize="10003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RELASI</vt:lpstr>
      <vt:lpstr>KBA</vt:lpstr>
      <vt:lpstr>KBB</vt:lpstr>
      <vt:lpstr>KBS</vt:lpstr>
      <vt:lpstr>DATA</vt:lpstr>
      <vt:lpstr>LAPORAN HARIAN</vt:lpstr>
      <vt:lpstr>LAMPIRAN</vt:lpstr>
      <vt:lpstr>LAMPIRAN-2020</vt:lpstr>
      <vt:lpstr>PER-TANGGAL</vt:lpstr>
      <vt:lpstr>Sheet1</vt:lpstr>
      <vt:lpstr>TableHelper</vt:lpstr>
      <vt:lpstr>LISTBOX-DATA</vt:lpstr>
      <vt:lpstr>DATALH</vt:lpstr>
      <vt:lpstr>LAMPIRAN!Print_Area</vt:lpstr>
      <vt:lpstr>'LAMPIRAN-2020'!Print_Area</vt:lpstr>
      <vt:lpstr>'LAPORAN HARIAN'!Print_Area</vt:lpstr>
      <vt:lpstr>'PER-TANGGAL'!Print_Area</vt:lpstr>
      <vt:lpstr>KBA!Print_Titles</vt:lpstr>
      <vt:lpstr>REL</vt:lpstr>
    </vt:vector>
  </TitlesOfParts>
  <Company>pt.isk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umroh</dc:creator>
  <cp:lastModifiedBy>rudi</cp:lastModifiedBy>
  <cp:lastPrinted>2020-04-04T02:04:14Z</cp:lastPrinted>
  <dcterms:created xsi:type="dcterms:W3CDTF">2014-07-02T01:53:14Z</dcterms:created>
  <dcterms:modified xsi:type="dcterms:W3CDTF">2020-04-11T04:39:32Z</dcterms:modified>
</cp:coreProperties>
</file>